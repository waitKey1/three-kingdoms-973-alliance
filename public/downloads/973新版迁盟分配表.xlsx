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32437c0fb46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7c271305b244c73"/>
    <x:sheet xmlns:r="http://schemas.openxmlformats.org/officeDocument/2006/relationships" name="分配参数" sheetId="2" r:id="R7db7d0e441714199"/>
    <x:sheet xmlns:r="http://schemas.openxmlformats.org/officeDocument/2006/relationships" name="迁盟总表" sheetId="3" r:id="Rd798fa696c2144ce"/>
    <x:sheet xmlns:r="http://schemas.openxmlformats.org/officeDocument/2006/relationships" name="兰亭一盟" sheetId="4" r:id="Rdd13e931115f4529"/>
    <x:sheet xmlns:r="http://schemas.openxmlformats.org/officeDocument/2006/relationships" name="花晨二盟" sheetId="5" r:id="R9a55e2e790fc4051"/>
    <x:sheet xmlns:r="http://schemas.openxmlformats.org/officeDocument/2006/relationships" name="玲珑三盟" sheetId="6" r:id="R66d92bee35144187"/>
    <x:sheet xmlns:r="http://schemas.openxmlformats.org/officeDocument/2006/relationships" name="燕云四盟" sheetId="7" r:id="Rcd983b131f9744cb"/>
    <x:sheet xmlns:r="http://schemas.openxmlformats.org/officeDocument/2006/relationships" name="迁盟清单" sheetId="8" r:id="R257a8a2b6e5b485e"/>
    <x:sheet xmlns:r="http://schemas.openxmlformats.org/officeDocument/2006/relationships" name="候补待确认" sheetId="9" r:id="R5f67d6fee76b464c"/>
    <x:sheet xmlns:r="http://schemas.openxmlformats.org/officeDocument/2006/relationships" name="执行建议" sheetId="10" r:id="Rdf1725bc269b418c"/>
    <x:sheet xmlns:r="http://schemas.openxmlformats.org/officeDocument/2006/relationships" name="数据匹配" sheetId="11" r:id="R4a54267e412948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"/>
    <x:numFmt numFmtId="202" formatCode="#,##0"/>
    <x:numFmt numFmtId="203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595959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4CC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1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3" fontId="0" fillId="0" borderId="3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3" fontId="0" fillId="0" borderId="9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203" fontId="0" fillId="0" borderId="3" xfId="0" applyNumberFormat="1" applyFont="1" applyFill="1" applyBorder="1" applyAlignment="1">
      <x:alignment horizontal="center" vertical="center"/>
    </x:xf>
    <x:xf numFmtId="203" fontId="0" fillId="0" borderId="6" xfId="0" applyNumberFormat="1" applyFont="1" applyFill="1" applyBorder="1" applyAlignment="1">
      <x:alignment horizontal="center" vertical="center"/>
    </x:xf>
    <x:xf numFmtId="203" fontId="0" fillId="0" borderId="9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 applyAlignment="1">
      <x:alignment vertical="center"/>
    </x:xf>
    <x:xf numFmtId="0" fontId="0" fillId="6" borderId="6" xfId="0" applyNumberFormat="1" applyFont="1" applyFill="1" applyBorder="1" applyAlignment="1">
      <x:alignment vertical="center"/>
    </x:xf>
    <x:xf numFmtId="0" fontId="0" fillId="6" borderId="9" xfId="0" applyNumberFormat="1" applyFont="1" applyFill="1" applyBorder="1" applyAlignment="1">
      <x:alignment vertical="center"/>
    </x:xf>
    <x:xf numFmtId="0" fontId="0" fillId="7" borderId="3" xfId="0" applyNumberFormat="1" applyFont="1" applyFill="1" applyBorder="1" applyAlignment="1">
      <x:alignment vertical="center"/>
    </x:xf>
    <x:xf numFmtId="0" fontId="0" fillId="7" borderId="6" xfId="0" applyNumberFormat="1" applyFont="1" applyFill="1" applyBorder="1" applyAlignment="1">
      <x:alignment vertical="center"/>
    </x:xf>
    <x:xf numFmtId="0" fontId="0" fillId="7" borderId="9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202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11" xfId="0" applyNumberFormat="1" applyFont="1" applyFill="1" applyBorder="1"/>
    <x:xf numFmtId="0" fontId="0" fillId="9" borderId="11" xfId="0" applyNumberFormat="1" applyFont="1" applyFill="1" applyBorder="1" applyAlignment="1">
      <x:alignment wrapText="1"/>
    </x:xf>
    <x:xf numFmtId="0" fontId="0" fillId="9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F2F2F2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faf8e01cfa4643" /><Relationship Type="http://schemas.openxmlformats.org/officeDocument/2006/relationships/theme" Target="/xl/theme/theme1.xml" Id="R00a91ec35bdb4e2a" /><Relationship Type="http://schemas.openxmlformats.org/officeDocument/2006/relationships/sharedStrings" Target="/xl/sharedStrings.xml" Id="Re46dba1acc0d4141" /><Relationship Type="http://schemas.openxmlformats.org/officeDocument/2006/relationships/worksheet" Target="/xl/worksheets/sheet1.xml" Id="R37c271305b244c73" /><Relationship Type="http://schemas.openxmlformats.org/officeDocument/2006/relationships/worksheet" Target="/xl/worksheets/sheet2.xml" Id="R7db7d0e441714199" /><Relationship Type="http://schemas.openxmlformats.org/officeDocument/2006/relationships/worksheet" Target="/xl/worksheets/sheet3.xml" Id="Rd798fa696c2144ce" /><Relationship Type="http://schemas.openxmlformats.org/officeDocument/2006/relationships/worksheet" Target="/xl/worksheets/sheet4.xml" Id="Rdd13e931115f4529" /><Relationship Type="http://schemas.openxmlformats.org/officeDocument/2006/relationships/worksheet" Target="/xl/worksheets/sheet5.xml" Id="R9a55e2e790fc4051" /><Relationship Type="http://schemas.openxmlformats.org/officeDocument/2006/relationships/worksheet" Target="/xl/worksheets/sheet6.xml" Id="R66d92bee35144187" /><Relationship Type="http://schemas.openxmlformats.org/officeDocument/2006/relationships/worksheet" Target="/xl/worksheets/sheet7.xml" Id="Rcd983b131f9744cb" /><Relationship Type="http://schemas.openxmlformats.org/officeDocument/2006/relationships/worksheet" Target="/xl/worksheets/sheet8.xml" Id="R257a8a2b6e5b485e" /><Relationship Type="http://schemas.openxmlformats.org/officeDocument/2006/relationships/worksheet" Target="/xl/worksheets/sheet9.xml" Id="R5f67d6fee76b464c" /><Relationship Type="http://schemas.openxmlformats.org/officeDocument/2006/relationships/worksheet" Target="/xl/worksheets/sheet10.xml" Id="Rdf1725bc269b418c" /><Relationship Type="http://schemas.openxmlformats.org/officeDocument/2006/relationships/worksheet" Target="/xl/worksheets/sheet11.xml" Id="R4a54267e41294803" /></Relationships>
</file>

<file path=xl/tables/table1.xml><?xml version="1.0" encoding="utf-8"?>
<x:table xmlns:x="http://schemas.openxmlformats.org/spreadsheetml/2006/main" id="1" name="MigrationMasterTable" displayName="MigrationMasterTable" ref="A4:AA395" headerRowCount="1" totalsRowCount="0" totalsRowShown="0">
  <x:tableColumns count="27">
    <x:tableColumn id="1" name="编号"/>
    <x:tableColumn id="2" name="成员名称"/>
    <x:tableColumn id="3" name="当前盟"/>
    <x:tableColumn id="4" name="建议盟"/>
    <x:tableColumn id="5" name="迁盟动作"/>
    <x:tableColumn id="6" name="旧表建议"/>
    <x:tableColumn id="7" name="原意向"/>
    <x:tableColumn id="8" name="最高集结加成"/>
    <x:tableColumn id="9" name="国家队集结加成"/>
    <x:tableColumn id="10" name="步兵防御"/>
    <x:tableColumn id="11" name="步兵生命"/>
    <x:tableColumn id="12" name="骑兵攻击"/>
    <x:tableColumn id="13" name="骑兵破坏"/>
    <x:tableColumn id="14" name="弓兵攻击"/>
    <x:tableColumn id="15" name="弓兵破坏"/>
    <x:tableColumn id="16" name="六维和"/>
    <x:tableColumn id="17" name="总功勋"/>
    <x:tableColumn id="18" name="实力"/>
    <x:tableColumn id="19" name="战力"/>
    <x:tableColumn id="20" name="周功勋"/>
    <x:tableColumn id="21" name="周捐献"/>
    <x:tableColumn id="22" name="火炉等级"/>
    <x:tableColumn id="23" name="阶级"/>
    <x:tableColumn id="24" name="战斗评分"/>
    <x:tableColumn id="25" name="战斗排名"/>
    <x:tableColumn id="26" name="分配理由"/>
    <x:tableColumn id="27" name="匹配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ntingFinalTable" displayName="LantingFinalTable" ref="A4:S101" headerRowCount="1" totalsRowCount="0" totalsRowShown="0">
  <x:tableColumns count="19">
    <x:tableColumn id="1" name="成员名称"/>
    <x:tableColumn id="2" name="当前盟"/>
    <x:tableColumn id="3" name="建议盟"/>
    <x:tableColumn id="4" name="迁盟动作"/>
    <x:tableColumn id="5" name="总功勋"/>
    <x:tableColumn id="6" name="实力"/>
    <x:tableColumn id="7" name="战力"/>
    <x:tableColumn id="8" name="最高集结"/>
    <x:tableColumn id="9" name="国家队集结"/>
    <x:tableColumn id="10" name="步防"/>
    <x:tableColumn id="11" name="步生"/>
    <x:tableColumn id="12" name="骑攻"/>
    <x:tableColumn id="13" name="骑破"/>
    <x:tableColumn id="14" name="弓攻"/>
    <x:tableColumn id="15" name="弓破"/>
    <x:tableColumn id="16" name="六维和"/>
    <x:tableColumn id="17" name="战斗评分"/>
    <x:tableColumn id="18" name="战斗排名"/>
    <x:tableColumn id="19" name="分配理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uachenFinalTable" displayName="HuachenFinalTable" ref="A4:S101" headerRowCount="1" totalsRowCount="0" totalsRowShown="0">
  <x:tableColumns count="19">
    <x:tableColumn id="1" name="成员名称"/>
    <x:tableColumn id="2" name="当前盟"/>
    <x:tableColumn id="3" name="建议盟"/>
    <x:tableColumn id="4" name="迁盟动作"/>
    <x:tableColumn id="5" name="总功勋"/>
    <x:tableColumn id="6" name="实力"/>
    <x:tableColumn id="7" name="战力"/>
    <x:tableColumn id="8" name="最高集结"/>
    <x:tableColumn id="9" name="国家队集结"/>
    <x:tableColumn id="10" name="步防"/>
    <x:tableColumn id="11" name="步生"/>
    <x:tableColumn id="12" name="骑攻"/>
    <x:tableColumn id="13" name="骑破"/>
    <x:tableColumn id="14" name="弓攻"/>
    <x:tableColumn id="15" name="弓破"/>
    <x:tableColumn id="16" name="六维和"/>
    <x:tableColumn id="17" name="战斗评分"/>
    <x:tableColumn id="18" name="战斗排名"/>
    <x:tableColumn id="19" name="分配理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inglongFinalTable" displayName="LinglongFinalTable" ref="A4:S101" headerRowCount="1" totalsRowCount="0" totalsRowShown="0">
  <x:tableColumns count="19">
    <x:tableColumn id="1" name="成员名称"/>
    <x:tableColumn id="2" name="当前盟"/>
    <x:tableColumn id="3" name="建议盟"/>
    <x:tableColumn id="4" name="迁盟动作"/>
    <x:tableColumn id="5" name="总功勋"/>
    <x:tableColumn id="6" name="实力"/>
    <x:tableColumn id="7" name="战力"/>
    <x:tableColumn id="8" name="最高集结"/>
    <x:tableColumn id="9" name="国家队集结"/>
    <x:tableColumn id="10" name="步防"/>
    <x:tableColumn id="11" name="步生"/>
    <x:tableColumn id="12" name="骑攻"/>
    <x:tableColumn id="13" name="骑破"/>
    <x:tableColumn id="14" name="弓攻"/>
    <x:tableColumn id="15" name="弓破"/>
    <x:tableColumn id="16" name="六维和"/>
    <x:tableColumn id="17" name="战斗评分"/>
    <x:tableColumn id="18" name="战斗排名"/>
    <x:tableColumn id="19" name="分配理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YanyunFinalTable" displayName="YanyunFinalTable" ref="A4:S101" headerRowCount="1" totalsRowCount="0" totalsRowShown="0">
  <x:tableColumns count="19">
    <x:tableColumn id="1" name="成员名称"/>
    <x:tableColumn id="2" name="当前盟"/>
    <x:tableColumn id="3" name="建议盟"/>
    <x:tableColumn id="4" name="迁盟动作"/>
    <x:tableColumn id="5" name="总功勋"/>
    <x:tableColumn id="6" name="实力"/>
    <x:tableColumn id="7" name="战力"/>
    <x:tableColumn id="8" name="最高集结"/>
    <x:tableColumn id="9" name="国家队集结"/>
    <x:tableColumn id="10" name="步防"/>
    <x:tableColumn id="11" name="步生"/>
    <x:tableColumn id="12" name="骑攻"/>
    <x:tableColumn id="13" name="骑破"/>
    <x:tableColumn id="14" name="弓攻"/>
    <x:tableColumn id="15" name="弓破"/>
    <x:tableColumn id="16" name="六维和"/>
    <x:tableColumn id="17" name="战斗评分"/>
    <x:tableColumn id="18" name="战斗排名"/>
    <x:tableColumn id="19" name="分配理由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veListTable" displayName="MoveListTable" ref="A4:L51" headerRowCount="1" totalsRowCount="0" totalsRowShown="0">
  <x:tableColumns count="12">
    <x:tableColumn id="1" name="成员名称"/>
    <x:tableColumn id="2" name="当前盟"/>
    <x:tableColumn id="3" name="迁入盟"/>
    <x:tableColumn id="4" name="迁盟路径"/>
    <x:tableColumn id="5" name="总功勋"/>
    <x:tableColumn id="6" name="实力"/>
    <x:tableColumn id="7" name="战力"/>
    <x:tableColumn id="8" name="六维和"/>
    <x:tableColumn id="9" name="战斗评分"/>
    <x:tableColumn id="10" name="原意向"/>
    <x:tableColumn id="11" name="旧表建议"/>
    <x:tableColumn id="12" name="执行意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ecutionAdviceTable" displayName="ExecutionAdviceTable" ref="A4:F12" headerRowCount="1" totalsRowCount="0" totalsRowShown="0">
  <x:tableColumns count="6">
    <x:tableColumn id="1" name="批次"/>
    <x:tableColumn id="2" name="动作"/>
    <x:tableColumn id="3" name="涉及人员"/>
    <x:tableColumn id="4" name="人数"/>
    <x:tableColumn id="5" name="完成条件"/>
    <x:tableColumn id="6" name="风险提示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tchQualityTable" displayName="MatchQualityTable" ref="A4:G203" headerRowCount="1" totalsRowCount="0" totalsRowShown="0">
  <x:tableColumns count="7">
    <x:tableColumn id="1" name="成员名称"/>
    <x:tableColumn id="2" name="当前盟"/>
    <x:tableColumn id="3" name="匹配状态"/>
    <x:tableColumn id="4" name="对应调查名"/>
    <x:tableColumn id="5" name="六维和"/>
    <x:tableColumn id="6" name="旧表建议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70e0e8cfc3045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41749e1977a47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9df3c25e9f241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bb758693fee48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8487be885c840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6457ae9b3e4492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301011787c2f4c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fdbb7976ca14d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0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20" hidden="0" customWidth="1"/>
  </x:cols>
  <x:sheetData>
    <x:row r="1" ht="30" customHeight="1">
      <x:c r="A1" s="3" t="str">
        <x:v>973新版迁盟方案总览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1" customHeight="1">
      <x:c r="A2" s="7" t="str">
        <x:v>核心目标：四盟各97人；兰亭为一盟战斗主盟；当前盟稳定、原意向和旧方案依次作为辅助约束。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2" customHeight="1">
      <x:c r="A4" s="13" t="str">
        <x:v>盟会</x:v>
      </x:c>
      <x:c r="B4" s="13" t="str">
        <x:v>当前人数</x:v>
      </x:c>
      <x:c r="C4" s="13" t="str">
        <x:v>建议人数</x:v>
      </x:c>
      <x:c r="D4" s="13" t="str">
        <x:v>迁入</x:v>
      </x:c>
      <x:c r="E4" s="13" t="str">
        <x:v>迁出</x:v>
      </x:c>
      <x:c r="F4" s="13" t="str">
        <x:v>当前总功勋</x:v>
      </x:c>
      <x:c r="G4" s="13" t="str">
        <x:v>建议总功勋</x:v>
      </x:c>
      <x:c r="H4" s="13" t="str">
        <x:v>当前平均实力</x:v>
      </x:c>
      <x:c r="I4" s="13" t="str">
        <x:v>建议平均实力</x:v>
      </x:c>
      <x:c r="J4" s="13" t="str">
        <x:v>当前平均六维</x:v>
      </x:c>
      <x:c r="K4" s="13" t="str">
        <x:v>建议平均六维</x:v>
      </x:c>
      <x:c r="L4" s="13" t="str">
        <x:v>定位</x:v>
      </x:c>
    </x:row>
    <x:row r="5" ht="20" customHeight="1">
      <x:c r="A5" s="69" t="str">
        <x:v>兰亭</x:v>
      </x:c>
      <x:c r="B5" s="70" t="n">
        <x:f>COUNTIF('迁盟总表'!$C$5:$C$395,A5)</x:f>
        <x:v>100</x:v>
      </x:c>
      <x:c r="C5" s="70" t="n">
        <x:f>COUNTIF('迁盟总表'!$D$5:$D$395,A5)</x:f>
        <x:v>97</x:v>
      </x:c>
      <x:c r="D5" s="70" t="n">
        <x:f>COUNTIFS('迁盟总表'!$D$5:$D$395,A5,'迁盟总表'!$C$5:$C$395,"&lt;&gt;"&amp;A5)</x:f>
        <x:v>22</x:v>
      </x:c>
      <x:c r="E5" s="70" t="n">
        <x:f>COUNTIFS('迁盟总表'!$C$5:$C$395,A5,'迁盟总表'!$D$5:$D$395,"&lt;&gt;"&amp;A5)</x:f>
        <x:v>25</x:v>
      </x:c>
      <x:c r="F5" s="70" t="n">
        <x:f>SUMIF('迁盟总表'!$C$5:$C$395,A5,'迁盟总表'!$Q$5:$Q$395)</x:f>
        <x:v>380637809804</x:v>
      </x:c>
      <x:c r="G5" s="70" t="n">
        <x:f>SUMIF('迁盟总表'!$D$5:$D$395,A5,'迁盟总表'!$Q$5:$Q$395)</x:f>
        <x:v>486454307447</x:v>
      </x:c>
      <x:c r="H5" s="70" t="n">
        <x:f>AVERAGEIF('迁盟总表'!$C$5:$C$395,A5,'迁盟总表'!$R$5:$R$395)</x:f>
        <x:v>80988461.82</x:v>
      </x:c>
      <x:c r="I5" s="70" t="n">
        <x:f>AVERAGEIF('迁盟总表'!$D$5:$D$395,A5,'迁盟总表'!$R$5:$R$395)</x:f>
        <x:v>90758340.75257732</x:v>
      </x:c>
      <x:c r="J5" s="70" t="n">
        <x:f>AVERAGEIF('迁盟总表'!$C$5:$C$395,A5,'迁盟总表'!$P$5:$P$395)</x:f>
        <x:v>4196.421875</x:v>
      </x:c>
      <x:c r="K5" s="70" t="n">
        <x:f>AVERAGEIF('迁盟总表'!$D$5:$D$395,A5,'迁盟总表'!$P$5:$P$395)</x:f>
        <x:v>4568.213333333333</x:v>
      </x:c>
      <x:c r="L5" s="71" t="str">
        <x:v>一盟战斗主盟</x:v>
      </x:c>
    </x:row>
    <x:row r="6" ht="20" customHeight="1">
      <x:c r="A6" s="26" t="str">
        <x:v>花晨</x:v>
      </x:c>
      <x:c r="B6" s="40" t="n">
        <x:f>COUNTIF('迁盟总表'!$C$5:$C$395,A6)</x:f>
        <x:v>100</x:v>
      </x:c>
      <x:c r="C6" s="40" t="n">
        <x:f>COUNTIF('迁盟总表'!$D$5:$D$395,A6)</x:f>
        <x:v>97</x:v>
      </x:c>
      <x:c r="D6" s="40" t="n">
        <x:f>COUNTIFS('迁盟总表'!$D$5:$D$395,A6,'迁盟总表'!$C$5:$C$395,"&lt;&gt;"&amp;A6)</x:f>
        <x:v>3</x:v>
      </x:c>
      <x:c r="E6" s="40" t="n">
        <x:f>COUNTIFS('迁盟总表'!$C$5:$C$395,A6,'迁盟总表'!$D$5:$D$395,"&lt;&gt;"&amp;A6)</x:f>
        <x:v>6</x:v>
      </x:c>
      <x:c r="F6" s="40" t="n">
        <x:f>SUMIF('迁盟总表'!$C$5:$C$395,A6,'迁盟总表'!$Q$5:$Q$395)</x:f>
        <x:v>330545028665</x:v>
      </x:c>
      <x:c r="G6" s="40" t="n">
        <x:f>SUMIF('迁盟总表'!$D$5:$D$395,A6,'迁盟总表'!$Q$5:$Q$395)</x:f>
        <x:v>292656279671</x:v>
      </x:c>
      <x:c r="H6" s="40" t="n">
        <x:f>AVERAGEIF('迁盟总表'!$C$5:$C$395,A6,'迁盟总表'!$R$5:$R$395)</x:f>
        <x:v>82295656.27</x:v>
      </x:c>
      <x:c r="I6" s="40" t="n">
        <x:f>AVERAGEIF('迁盟总表'!$D$5:$D$395,A6,'迁盟总表'!$R$5:$R$395)</x:f>
        <x:v>80574384.56701031</x:v>
      </x:c>
      <x:c r="J6" s="40" t="n">
        <x:f>AVERAGEIF('迁盟总表'!$C$5:$C$395,A6,'迁盟总表'!$P$5:$P$395)</x:f>
        <x:v>4161.984126984127</x:v>
      </x:c>
      <x:c r="K6" s="40" t="n">
        <x:f>AVERAGEIF('迁盟总表'!$D$5:$D$395,A6,'迁盟总表'!$P$5:$P$395)</x:f>
        <x:v>4012.406779661017</x:v>
      </x:c>
      <x:c r="L6" s="28" t="str">
        <x:v>二盟支援</x:v>
      </x:c>
    </x:row>
    <x:row r="7" ht="20" customHeight="1">
      <x:c r="A7" s="26" t="str">
        <x:v>玲珑</x:v>
      </x:c>
      <x:c r="B7" s="40" t="n">
        <x:f>COUNTIF('迁盟总表'!$C$5:$C$395,A7)</x:f>
        <x:v>98</x:v>
      </x:c>
      <x:c r="C7" s="40" t="n">
        <x:f>COUNTIF('迁盟总表'!$D$5:$D$395,A7)</x:f>
        <x:v>97</x:v>
      </x:c>
      <x:c r="D7" s="40" t="n">
        <x:f>COUNTIFS('迁盟总表'!$D$5:$D$395,A7,'迁盟总表'!$C$5:$C$395,"&lt;&gt;"&amp;A7)</x:f>
        <x:v>10</x:v>
      </x:c>
      <x:c r="E7" s="40" t="n">
        <x:f>COUNTIFS('迁盟总表'!$C$5:$C$395,A7,'迁盟总表'!$D$5:$D$395,"&lt;&gt;"&amp;A7)</x:f>
        <x:v>11</x:v>
      </x:c>
      <x:c r="F7" s="40" t="n">
        <x:f>SUMIF('迁盟总表'!$C$5:$C$395,A7,'迁盟总表'!$Q$5:$Q$395)</x:f>
        <x:v>226859314206</x:v>
      </x:c>
      <x:c r="G7" s="40" t="n">
        <x:f>SUMIF('迁盟总表'!$D$5:$D$395,A7,'迁盟总表'!$Q$5:$Q$395)</x:f>
        <x:v>184569902780</x:v>
      </x:c>
      <x:c r="H7" s="40" t="n">
        <x:f>AVERAGEIF('迁盟总表'!$C$5:$C$395,A7,'迁盟总表'!$R$5:$R$395)</x:f>
        <x:v>81915269.74489796</x:v>
      </x:c>
      <x:c r="I7" s="40" t="n">
        <x:f>AVERAGEIF('迁盟总表'!$D$5:$D$395,A7,'迁盟总表'!$R$5:$R$395)</x:f>
        <x:v>77568558.83505155</x:v>
      </x:c>
      <x:c r="J7" s="40" t="n">
        <x:f>AVERAGEIF('迁盟总表'!$C$5:$C$395,A7,'迁盟总表'!$P$5:$P$395)</x:f>
        <x:v>4223.777777777777</x:v>
      </x:c>
      <x:c r="K7" s="40" t="n">
        <x:f>AVERAGEIF('迁盟总表'!$D$5:$D$395,A7,'迁盟总表'!$P$5:$P$395)</x:f>
        <x:v>4017.160714285714</x:v>
      </x:c>
      <x:c r="L7" s="28" t="str">
        <x:v>三盟稳定/种田</x:v>
      </x:c>
    </x:row>
    <x:row r="8" ht="20" customHeight="1">
      <x:c r="A8" s="29" t="str">
        <x:v>燕云</x:v>
      </x:c>
      <x:c r="B8" s="41" t="n">
        <x:f>COUNTIF('迁盟总表'!$C$5:$C$395,A8)</x:f>
        <x:v>93</x:v>
      </x:c>
      <x:c r="C8" s="41" t="n">
        <x:f>COUNTIF('迁盟总表'!$D$5:$D$395,A8)</x:f>
        <x:v>97</x:v>
      </x:c>
      <x:c r="D8" s="41" t="n">
        <x:f>COUNTIFS('迁盟总表'!$D$5:$D$395,A8,'迁盟总表'!$C$5:$C$395,"&lt;&gt;"&amp;A8)</x:f>
        <x:v>12</x:v>
      </x:c>
      <x:c r="E8" s="41" t="n">
        <x:f>COUNTIFS('迁盟总表'!$C$5:$C$395,A8,'迁盟总表'!$D$5:$D$395,"&lt;&gt;"&amp;A8)</x:f>
        <x:v>8</x:v>
      </x:c>
      <x:c r="F8" s="41" t="n">
        <x:f>SUMIF('迁盟总表'!$C$5:$C$395,A8,'迁盟总表'!$Q$5:$Q$395)</x:f>
        <x:v>90628442798</x:v>
      </x:c>
      <x:c r="G8" s="41" t="n">
        <x:f>SUMIF('迁盟总表'!$D$5:$D$395,A8,'迁盟总表'!$Q$5:$Q$395)</x:f>
        <x:v>64990105575</x:v>
      </x:c>
      <x:c r="H8" s="41" t="n">
        <x:f>AVERAGEIF('迁盟总表'!$C$5:$C$395,A8,'迁盟总表'!$R$5:$R$395)</x:f>
        <x:v>37030443.258064516</x:v>
      </x:c>
      <x:c r="I8" s="41" t="n">
        <x:f>AVERAGEIF('迁盟总表'!$D$5:$D$395,A8,'迁盟总表'!$R$5:$R$395)</x:f>
        <x:v>37686622.051546395</x:v>
      </x:c>
      <x:c r="J8" s="41" t="n">
        <x:f>AVERAGEIF('迁盟总表'!$C$5:$C$395,A8,'迁盟总表'!$P$5:$P$395)</x:f>
        <x:v>4391.266666666666</x:v>
      </x:c>
      <x:c r="K8" s="41" t="n">
        <x:f>AVERAGEIF('迁盟总表'!$D$5:$D$395,A8,'迁盟总表'!$P$5:$P$395)</x:f>
        <x:v>3895.6</x:v>
      </x:c>
      <x:c r="L8" s="31" t="str">
        <x:v>四盟预备/承接</x:v>
      </x:c>
    </x:row>
    <x:row r="11" ht="32" customHeight="1">
      <x:c r="A11" s="13" t="str">
        <x:v>执行指标</x:v>
      </x:c>
      <x:c r="B11" s="13" t="str">
        <x:v>数值</x:v>
      </x:c>
      <x:c r="C11" s="13" t="str">
        <x:v>说明</x:v>
      </x:c>
      <x:c r="D11" s="13" t="str">
        <x:v>状态</x:v>
      </x:c>
      <x:c r="F11" s="74" t="str">
        <x:v>关键分配意见</x:v>
      </x:c>
      <x:c r="G11" s="74"/>
      <x:c r="H11" s="74"/>
      <x:c r="I11" s="74"/>
      <x:c r="J11" s="74"/>
      <x:c r="K11" s="74"/>
      <x:c r="L11" s="74"/>
    </x:row>
    <x:row r="12" ht="30" customHeight="1">
      <x:c r="A12" s="23" t="str">
        <x:v>四盟总人数</x:v>
      </x:c>
      <x:c r="B12" s="24" t="n">
        <x:v>388</x:v>
      </x:c>
      <x:c r="C12" s="24" t="str">
        <x:v>97×4</x:v>
      </x:c>
      <x:c r="D12" s="25" t="str">
        <x:v>通过</x:v>
      </x:c>
      <x:c r="F12" s="78" t="str">
        <x:v>1. 兰亭按战斗盟执行：优先迁入战斗评分靠前人员，低评分人员对调至其原盟或承接盟。</x:v>
      </x:c>
      <x:c r="G12" s="78"/>
      <x:c r="H12" s="78"/>
      <x:c r="I12" s="78"/>
      <x:c r="J12" s="78"/>
      <x:c r="K12" s="78"/>
      <x:c r="L12" s="78"/>
    </x:row>
    <x:row r="13" ht="30" customHeight="1">
      <x:c r="A13" s="26" t="str">
        <x:v>候补人数</x:v>
      </x:c>
      <x:c r="B13" s="27" t="n">
        <x:v>3</x:v>
      </x:c>
      <x:c r="C13" s="27" t="str">
        <x:v>总人数391减四盟容量</x:v>
      </x:c>
      <x:c r="D13" s="28" t="str">
        <x:v>需确认</x:v>
      </x:c>
      <x:c r="F13" s="78" t="str">
        <x:v>2. 先处理候补3人，再按目标盟空位执行迁移，任何时点不得超过100人。</x:v>
      </x:c>
      <x:c r="G13" s="78"/>
      <x:c r="H13" s="78"/>
      <x:c r="I13" s="78"/>
      <x:c r="J13" s="78"/>
      <x:c r="K13" s="78"/>
      <x:c r="L13" s="78"/>
    </x:row>
    <x:row r="14" ht="30" customHeight="1">
      <x:c r="A14" s="26" t="str">
        <x:v>需要迁盟人数</x:v>
      </x:c>
      <x:c r="B14" s="27" t="n">
        <x:v>47</x:v>
      </x:c>
      <x:c r="C14" s="27" t="str">
        <x:v>当前盟与建议盟不同</x:v>
      </x:c>
      <x:c r="D14" s="28" t="str">
        <x:v>执行项</x:v>
      </x:c>
      <x:c r="F14" s="78" t="str">
        <x:v>3. 迁入兰亭人员优先级按战斗排名升序；总功勋和实力同时偏低者不建议进入一盟。</x:v>
      </x:c>
      <x:c r="G14" s="78"/>
      <x:c r="H14" s="78"/>
      <x:c r="I14" s="78"/>
      <x:c r="J14" s="78"/>
      <x:c r="K14" s="78"/>
      <x:c r="L14" s="78"/>
    </x:row>
    <x:row r="15" ht="30" customHeight="1">
      <x:c r="A15" s="26" t="str">
        <x:v>留盟人数</x:v>
      </x:c>
      <x:c r="B15" s="27" t="n">
        <x:v>341</x:v>
      </x:c>
      <x:c r="C15" s="27" t="str">
        <x:v>保持当前盟</x:v>
      </x:c>
      <x:c r="D15" s="28" t="str">
        <x:v>稳定项</x:v>
      </x:c>
      <x:c r="F15" s="78" t="str">
        <x:v>4. 花晨、玲珑、燕云以稳定当前成员为主，仅承担一盟补强后的容量对调。</x:v>
      </x:c>
      <x:c r="G15" s="78"/>
      <x:c r="H15" s="78"/>
      <x:c r="I15" s="78"/>
      <x:c r="J15" s="78"/>
      <x:c r="K15" s="78"/>
      <x:c r="L15" s="78"/>
    </x:row>
    <x:row r="16" ht="30" customHeight="1">
      <x:c r="A16" s="29" t="str">
        <x:v>六维已匹配人数</x:v>
      </x:c>
      <x:c r="B16" s="30" t="n">
        <x:v>208</x:v>
      </x:c>
      <x:c r="C16" s="30" t="str">
        <x:v>可填六维属性</x:v>
      </x:c>
      <x:c r="D16" s="31" t="str">
        <x:v>数据覆盖</x:v>
      </x:c>
      <x:c r="F16" s="78" t="str">
        <x:v>5. 名称改动和同名成员必须用战力/实力二次核验，尤其是“小曹贼”等同名记录。</x:v>
      </x:c>
      <x:c r="G16" s="78"/>
      <x:c r="H16" s="78"/>
      <x:c r="I16" s="78"/>
      <x:c r="J16" s="78"/>
      <x:c r="K16" s="78"/>
      <x:c r="L16" s="78"/>
    </x:row>
    <x:row r="17" ht="30" customHeight="1">
      <x:c r="F17" s="78" t="str">
        <x:v>6. 最终落位后再次导出四盟名单，核对每盟97人以及迁入迁出数量平衡。</x:v>
      </x:c>
      <x:c r="G17" s="78"/>
      <x:c r="H17" s="78"/>
      <x:c r="I17" s="78"/>
      <x:c r="J17" s="78"/>
      <x:c r="K17" s="78"/>
      <x:c r="L17" s="78"/>
    </x:row>
  </x:sheetData>
  <x:mergeCells>
    <x:mergeCell ref="A1:L1"/>
    <x:mergeCell ref="A2:L2"/>
    <x:mergeCell ref="F11:L11"/>
    <x:mergeCell ref="F12:L12"/>
    <x:mergeCell ref="F13:L13"/>
    <x:mergeCell ref="F14:L14"/>
    <x:mergeCell ref="F15:L15"/>
    <x:mergeCell ref="F16:L16"/>
    <x:mergeCell ref="F17:L17"/>
  </x:mergeCells>
  <x:conditionalFormatting sqref="D12:D16">
    <x:cfRule type="containsText" dxfId="7" priority="1" operator="containsText" text="通过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  <x:col min="3" max="3" width="35" hidden="0" customWidth="1"/>
    <x:col min="4" max="4" width="15" hidden="0" customWidth="1"/>
  </x:cols>
  <x:sheetData>
    <x:row r="1" ht="30" customHeight="1">
      <x:c r="A1" s="3" t="str">
        <x:v>新版迁盟分配参数与来源</x:v>
      </x:c>
      <x:c r="B1" s="3"/>
      <x:c r="C1" s="3"/>
      <x:c r="D1" s="3"/>
    </x:row>
    <x:row r="2" ht="31" customHeight="1">
      <x:c r="A2" s="7" t="str">
        <x:v>所有容量、评分权重和数据来源集中在此，便于后续审计或调整。</x:v>
      </x:c>
      <x:c r="B2" s="7"/>
      <x:c r="C2" s="7"/>
      <x:c r="D2" s="7"/>
    </x:row>
    <x:row r="4" ht="32" customHeight="1">
      <x:c r="A4" s="13" t="str">
        <x:v>参数</x:v>
      </x:c>
      <x:c r="B4" s="13" t="str">
        <x:v>数值</x:v>
      </x:c>
      <x:c r="C4" s="13" t="str">
        <x:v>用途</x:v>
      </x:c>
      <x:c r="D4" s="13" t="str">
        <x:v>备注</x:v>
      </x:c>
    </x:row>
    <x:row r="5" ht="20" customHeight="1">
      <x:c r="A5" s="23" t="str">
        <x:v>每盟目标人数</x:v>
      </x:c>
      <x:c r="B5" s="24" t="n">
        <x:v>97</x:v>
      </x:c>
      <x:c r="C5" s="24" t="str">
        <x:v>容量约束</x:v>
      </x:c>
      <x:c r="D5" s="25" t="str">
        <x:v>低于100并预留3席</x:v>
      </x:c>
    </x:row>
    <x:row r="6" ht="20" customHeight="1">
      <x:c r="A6" s="26" t="str">
        <x:v>候补人数</x:v>
      </x:c>
      <x:c r="B6" s="27" t="n">
        <x:v>3</x:v>
      </x:c>
      <x:c r="C6" s="27" t="str">
        <x:v>总人数超出四盟容量</x:v>
      </x:c>
      <x:c r="D6" s="28" t="str">
        <x:v>391-97×4=3</x:v>
      </x:c>
    </x:row>
    <x:row r="7" ht="20" customHeight="1">
      <x:c r="A7" s="26" t="str">
        <x:v>总功勋权重</x:v>
      </x:c>
      <x:c r="B7" s="32" t="n">
        <x:v>0.4</x:v>
      </x:c>
      <x:c r="C7" s="27" t="str">
        <x:v>战斗评分</x:v>
      </x:c>
      <x:c r="D7" s="28" t="str">
        <x:v>采用LN缩放，降低极端值影响</x:v>
      </x:c>
    </x:row>
    <x:row r="8" ht="20" customHeight="1">
      <x:c r="A8" s="26" t="str">
        <x:v>实力权重</x:v>
      </x:c>
      <x:c r="B8" s="32" t="n">
        <x:v>0.35</x:v>
      </x:c>
      <x:c r="C8" s="27" t="str">
        <x:v>战斗评分</x:v>
      </x:c>
      <x:c r="D8" s="28" t="str">
        <x:v>线性归一</x:v>
      </x:c>
    </x:row>
    <x:row r="9" ht="20" customHeight="1">
      <x:c r="A9" s="26" t="str">
        <x:v>战力权重</x:v>
      </x:c>
      <x:c r="B9" s="32" t="n">
        <x:v>0.15</x:v>
      </x:c>
      <x:c r="C9" s="27" t="str">
        <x:v>战斗评分</x:v>
      </x:c>
      <x:c r="D9" s="28" t="str">
        <x:v>线性归一</x:v>
      </x:c>
    </x:row>
    <x:row r="10" ht="20" customHeight="1">
      <x:c r="A10" s="26" t="str">
        <x:v>六维权重</x:v>
      </x:c>
      <x:c r="B10" s="32" t="n">
        <x:v>0.1</x:v>
      </x:c>
      <x:c r="C10" s="27" t="str">
        <x:v>战斗评分</x:v>
      </x:c>
      <x:c r="D10" s="28" t="str">
        <x:v>仅有六维时使用；缺失则按其他三项重标</x:v>
      </x:c>
    </x:row>
    <x:row r="11" ht="20" customHeight="1">
      <x:c r="A11" s="26" t="str">
        <x:v>兰亭原班保留</x:v>
      </x:c>
      <x:c r="B11" s="27" t="n">
        <x:v>75</x:v>
      </x:c>
      <x:c r="C11" s="27" t="str">
        <x:v>一盟战斗</x:v>
      </x:c>
      <x:c r="D11" s="28" t="str">
        <x:v>保留当前兰亭评分靠前人员</x:v>
      </x:c>
    </x:row>
    <x:row r="12" ht="20" customHeight="1">
      <x:c r="A12" s="26" t="str">
        <x:v>兰亭外盟补强</x:v>
      </x:c>
      <x:c r="B12" s="27" t="n">
        <x:v>22</x:v>
      </x:c>
      <x:c r="C12" s="27" t="str">
        <x:v>一盟战斗</x:v>
      </x:c>
      <x:c r="D12" s="28" t="str">
        <x:v>从其他盟吸收综合评分靠前人员</x:v>
      </x:c>
    </x:row>
    <x:row r="13" ht="20" customHeight="1">
      <x:c r="A13" s="26" t="str">
        <x:v>当前盟稳定奖励</x:v>
      </x:c>
      <x:c r="B13" s="27" t="n">
        <x:v>80</x:v>
      </x:c>
      <x:c r="C13" s="27" t="str">
        <x:v>非一盟优化</x:v>
      </x:c>
      <x:c r="D13" s="28" t="str">
        <x:v>减少不必要迁移</x:v>
      </x:c>
    </x:row>
    <x:row r="14" ht="20" customHeight="1">
      <x:c r="A14" s="26" t="str">
        <x:v>原意向奖励</x:v>
      </x:c>
      <x:c r="B14" s="27" t="n">
        <x:v>20</x:v>
      </x:c>
      <x:c r="C14" s="27" t="str">
        <x:v>非一盟优化</x:v>
      </x:c>
      <x:c r="D14" s="28" t="str">
        <x:v>参考973属性调查意向</x:v>
      </x:c>
    </x:row>
    <x:row r="15" ht="20" customHeight="1">
      <x:c r="A15" s="29" t="str">
        <x:v>旧方案奖励</x:v>
      </x:c>
      <x:c r="B15" s="30" t="n">
        <x:v>8</x:v>
      </x:c>
      <x:c r="C15" s="30" t="str">
        <x:v>非一盟优化</x:v>
      </x:c>
      <x:c r="D15" s="31" t="str">
        <x:v>弱参考旧分配表</x:v>
      </x:c>
    </x:row>
    <x:row r="18" ht="32" customHeight="1">
      <x:c r="A18" s="13" t="str">
        <x:v>数据源</x:v>
      </x:c>
      <x:c r="B18" s="13" t="str">
        <x:v>路径</x:v>
      </x:c>
      <x:c r="C18" s="13" t="str">
        <x:v>字段</x:v>
      </x:c>
      <x:c r="D18" s="13" t="str">
        <x:v>优先级</x:v>
      </x:c>
    </x:row>
    <x:row r="19" ht="20" customHeight="1">
      <x:c r="A19" s="23" t="str">
        <x:v>当前花晨名单</x:v>
      </x:c>
      <x:c r="B19" s="33" t="str">
        <x:v>C:/Users/Admin/.codex/attachments/ccf9fa92-731c-4671-93f8-3f5959a58bbb/pasted-text.txt</x:v>
      </x:c>
      <x:c r="C19" s="24" t="str">
        <x:v>成员、总功勋、实力、战力等</x:v>
      </x:c>
      <x:c r="D19" s="25" t="str">
        <x:v>最高</x:v>
      </x:c>
    </x:row>
    <x:row r="20" ht="20" customHeight="1">
      <x:c r="A20" s="26" t="str">
        <x:v>当前玲珑名单</x:v>
      </x:c>
      <x:c r="B20" s="34" t="str">
        <x:v>C:/Users/Admin/.codex/attachments/d34f44b1-45d9-42dc-911e-546848907e06/pasted-text.txt</x:v>
      </x:c>
      <x:c r="C20" s="27" t="str">
        <x:v>成员、总功勋、实力、战力等</x:v>
      </x:c>
      <x:c r="D20" s="28" t="str">
        <x:v>最高</x:v>
      </x:c>
    </x:row>
    <x:row r="21" ht="20" customHeight="1">
      <x:c r="A21" s="26" t="str">
        <x:v>当前兰亭名单</x:v>
      </x:c>
      <x:c r="B21" s="34" t="str">
        <x:v>C:/Users/Admin/.codex/attachments/a42fcd94-fd07-4423-9b67-e183cf3b86c3/pasted-text.txt</x:v>
      </x:c>
      <x:c r="C21" s="27" t="str">
        <x:v>成员、总功勋、实力、战力等</x:v>
      </x:c>
      <x:c r="D21" s="28" t="str">
        <x:v>最高</x:v>
      </x:c>
    </x:row>
    <x:row r="22" ht="20" customHeight="1">
      <x:c r="A22" s="26" t="str">
        <x:v>当前燕云名单</x:v>
      </x:c>
      <x:c r="B22" s="34" t="str">
        <x:v>本任务对话中粘贴的燕云名单</x:v>
      </x:c>
      <x:c r="C22" s="27" t="str">
        <x:v>成员、总功勋、实力、战力等</x:v>
      </x:c>
      <x:c r="D22" s="28" t="str">
        <x:v>最高</x:v>
      </x:c>
    </x:row>
    <x:row r="23" ht="20" customHeight="1">
      <x:c r="A23" s="26" t="str">
        <x:v>973六维属性表</x:v>
      </x:c>
      <x:c r="B23" s="34" t="str">
        <x:v>I:/Documents/架构交流/outputs/019fc18b-7c34-7892-8a9d-bbe9c8d9928c/973人员属性统计及分盟.xlsx</x:v>
      </x:c>
      <x:c r="C23" s="27" t="str">
        <x:v>集结加成、六维、原区、意向</x:v>
      </x:c>
      <x:c r="D23" s="28" t="str">
        <x:v>辅助</x:v>
      </x:c>
    </x:row>
    <x:row r="24" ht="20" customHeight="1">
      <x:c r="A24" s="29" t="str">
        <x:v>旧人员分配表</x:v>
      </x:c>
      <x:c r="B24" s="35" t="str">
        <x:v>K:/xwechat_files/wxid_6vofvpnehs4n22_9c0f/msg/file/2026-08/73人员分配.xls</x:v>
      </x:c>
      <x:c r="C24" s="30" t="str">
        <x:v>旧方案目标盟</x:v>
      </x:c>
      <x:c r="D24" s="31" t="str">
        <x:v>弱参考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0" hidden="0" customWidth="1"/>
    <x:col min="4" max="4" width="10" hidden="0" customWidth="1"/>
    <x:col min="5" max="5" width="15" hidden="0" customWidth="1"/>
    <x:col min="6" max="6" width="15" hidden="0" customWidth="1"/>
    <x:col min="7" max="7" width="11" hidden="0" customWidth="1"/>
    <x:col min="8" max="8" width="12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1" hidden="0" customWidth="1"/>
    <x:col min="17" max="17" width="16" hidden="0" customWidth="1"/>
    <x:col min="18" max="18" width="14" hidden="0" customWidth="1"/>
    <x:col min="19" max="19" width="14" hidden="0" customWidth="1"/>
    <x:col min="20" max="20" width="12" hidden="0" customWidth="1"/>
    <x:col min="21" max="21" width="12" hidden="0" customWidth="1"/>
    <x:col min="22" max="22" width="12" hidden="0" customWidth="1"/>
    <x:col min="23" max="23" width="8" hidden="0" customWidth="1"/>
    <x:col min="24" max="24" width="11" hidden="0" customWidth="1"/>
    <x:col min="25" max="25" width="10" hidden="0" customWidth="1"/>
    <x:col min="26" max="26" width="38" hidden="0" customWidth="1"/>
    <x:col min="27" max="27" width="26" hidden="0" customWidth="1"/>
  </x:cols>
  <x:sheetData>
    <x:row r="1" ht="30" customHeight="1">
      <x:c r="A1" s="3" t="str">
        <x:v>973新版迁盟分配总表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31" customHeight="1">
      <x:c r="A2" s="7" t="str">
        <x:v>当前盟名单为主数据源；兰亭作为一盟战斗盟进行定向补强；四盟各97人，3人列候补。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4" ht="32" customHeight="1">
      <x:c r="A4" s="13" t="str">
        <x:v>编号</x:v>
      </x:c>
      <x:c r="B4" s="13" t="str">
        <x:v>成员名称</x:v>
      </x:c>
      <x:c r="C4" s="13" t="str">
        <x:v>当前盟</x:v>
      </x:c>
      <x:c r="D4" s="13" t="str">
        <x:v>建议盟</x:v>
      </x:c>
      <x:c r="E4" s="13" t="str">
        <x:v>迁盟动作</x:v>
      </x:c>
      <x:c r="F4" s="13" t="str">
        <x:v>旧表建议</x:v>
      </x:c>
      <x:c r="G4" s="13" t="str">
        <x:v>原意向</x:v>
      </x:c>
      <x:c r="H4" s="13" t="str">
        <x:v>最高集结加成</x:v>
      </x:c>
      <x:c r="I4" s="13" t="str">
        <x:v>国家队集结加成</x:v>
      </x:c>
      <x:c r="J4" s="13" t="str">
        <x:v>步兵防御</x:v>
      </x:c>
      <x:c r="K4" s="13" t="str">
        <x:v>步兵生命</x:v>
      </x:c>
      <x:c r="L4" s="13" t="str">
        <x:v>骑兵攻击</x:v>
      </x:c>
      <x:c r="M4" s="13" t="str">
        <x:v>骑兵破坏</x:v>
      </x:c>
      <x:c r="N4" s="13" t="str">
        <x:v>弓兵攻击</x:v>
      </x:c>
      <x:c r="O4" s="13" t="str">
        <x:v>弓兵破坏</x:v>
      </x:c>
      <x:c r="P4" s="13" t="str">
        <x:v>六维和</x:v>
      </x:c>
      <x:c r="Q4" s="13" t="str">
        <x:v>总功勋</x:v>
      </x:c>
      <x:c r="R4" s="13" t="str">
        <x:v>实力</x:v>
      </x:c>
      <x:c r="S4" s="13" t="str">
        <x:v>战力</x:v>
      </x:c>
      <x:c r="T4" s="13" t="str">
        <x:v>周功勋</x:v>
      </x:c>
      <x:c r="U4" s="13" t="str">
        <x:v>周捐献</x:v>
      </x:c>
      <x:c r="V4" s="13" t="str">
        <x:v>火炉等级</x:v>
      </x:c>
      <x:c r="W4" s="13" t="str">
        <x:v>阶级</x:v>
      </x:c>
      <x:c r="X4" s="13" t="str">
        <x:v>战斗评分</x:v>
      </x:c>
      <x:c r="Y4" s="13" t="str">
        <x:v>战斗排名</x:v>
      </x:c>
      <x:c r="Z4" s="13" t="str">
        <x:v>分配理由</x:v>
      </x:c>
      <x:c r="AA4" s="13" t="str">
        <x:v>匹配备注</x:v>
      </x:c>
    </x:row>
    <x:row r="5" ht="20" customHeight="1">
      <x:c r="A5" s="45" t="n">
        <x:v>199</x:v>
      </x:c>
      <x:c r="B5" s="24" t="str">
        <x:v>三千丶</x:v>
      </x:c>
      <x:c r="C5" s="48" t="str">
        <x:v>兰亭</x:v>
      </x:c>
      <x:c r="D5" s="48" t="str">
        <x:v>兰亭</x:v>
      </x:c>
      <x:c r="E5" s="48" t="str">
        <x:v>留盟</x:v>
      </x:c>
      <x:c r="F5" s="48" t="str"/>
      <x:c r="G5" s="48" t="str">
        <x:v>兰亭</x:v>
      </x:c>
      <x:c r="H5" s="36" t="n">
        <x:v>31.8</x:v>
      </x:c>
      <x:c r="I5" s="36" t="n">
        <x:v>28.8</x:v>
      </x:c>
      <x:c r="J5" s="39" t="n">
        <x:v>1000</x:v>
      </x:c>
      <x:c r="K5" s="39" t="n">
        <x:v>1300</x:v>
      </x:c>
      <x:c r="L5" s="39" t="n">
        <x:v>900</x:v>
      </x:c>
      <x:c r="M5" s="39" t="n">
        <x:v>1100</x:v>
      </x:c>
      <x:c r="N5" s="39" t="n">
        <x:v>900</x:v>
      </x:c>
      <x:c r="O5" s="39" t="n">
        <x:v>1200</x:v>
      </x:c>
      <x:c r="P5" s="39" t="n">
        <x:f>IF(COUNT(J5:O5)=0,"",SUM(J5:O5))</x:f>
        <x:v>6400</x:v>
      </x:c>
      <x:c r="Q5" s="39" t="n">
        <x:v>13964250628</x:v>
      </x:c>
      <x:c r="R5" s="39" t="n">
        <x:v>135388015</x:v>
      </x:c>
      <x:c r="S5" s="39" t="n">
        <x:v>405175336</x:v>
      </x:c>
      <x:c r="T5" s="39" t="n">
        <x:v>0</x:v>
      </x:c>
      <x:c r="U5" s="39" t="n">
        <x:v>63360</x:v>
      </x:c>
      <x:c r="V5" s="48" t="str">
        <x:v>宫阙3级</x:v>
      </x:c>
      <x:c r="W5" s="48" t="n">
        <x:v>3</x:v>
      </x:c>
      <x:c r="X5" s="51" t="n">
        <x:f>ROUND(100*(0.4*LN(1+Q5)/LN(1+MAX($Q$5:$Q$395))+0.35*R5/MAX($R$5:$R$395)+0.15*S5/MAX($S$5:$S$395)+IF(P5="",0,0.1*P5/MAX($P$5:$P$395)))/IF(P5="",0.9,1),1)</x:f>
        <x:v>96.8</x:v>
      </x:c>
      <x:c r="Y5" s="48" t="n">
        <x:f>RANK.EQ(X5,$X$5:$X$395,0)</x:f>
        <x:v>1</x:v>
      </x:c>
      <x:c r="Z5" s="33" t="str">
        <x:v>保留兰亭战斗骨干</x:v>
      </x:c>
      <x:c r="AA5" s="54"/>
    </x:row>
    <x:row r="6" ht="20" customHeight="1">
      <x:c r="A6" s="46" t="n">
        <x:v>105</x:v>
      </x:c>
      <x:c r="B6" s="27" t="str">
        <x:v>小王丶</x:v>
      </x:c>
      <x:c r="C6" s="49" t="str">
        <x:v>玲珑</x:v>
      </x:c>
      <x:c r="D6" s="49" t="str">
        <x:v>兰亭</x:v>
      </x:c>
      <x:c r="E6" s="49" t="str">
        <x:v>玲珑→兰亭</x:v>
      </x:c>
      <x:c r="F6" s="49" t="str">
        <x:v>兰亭</x:v>
      </x:c>
      <x:c r="G6" s="49" t="str">
        <x:v>兰亭</x:v>
      </x:c>
      <x:c r="H6" s="37" t="n">
        <x:v>31.8</x:v>
      </x:c>
      <x:c r="I6" s="37" t="n">
        <x:v>31.8</x:v>
      </x:c>
      <x:c r="J6" s="40" t="n">
        <x:v>1001</x:v>
      </x:c>
      <x:c r="K6" s="40" t="n">
        <x:v>1314</x:v>
      </x:c>
      <x:c r="L6" s="40" t="n">
        <x:v>821</x:v>
      </x:c>
      <x:c r="M6" s="40" t="n">
        <x:v>855</x:v>
      </x:c>
      <x:c r="N6" s="40" t="n">
        <x:v>900</x:v>
      </x:c>
      <x:c r="O6" s="40" t="n">
        <x:v>1181</x:v>
      </x:c>
      <x:c r="P6" s="40" t="n">
        <x:f>IF(COUNT(J6:O6)=0,"",SUM(J6:O6))</x:f>
        <x:v>6072</x:v>
      </x:c>
      <x:c r="Q6" s="40" t="n">
        <x:v>6308918612</x:v>
      </x:c>
      <x:c r="R6" s="40" t="n">
        <x:v>121083366</x:v>
      </x:c>
      <x:c r="S6" s="40" t="n">
        <x:v>513835940</x:v>
      </x:c>
      <x:c r="T6" s="40" t="n">
        <x:v>0</x:v>
      </x:c>
      <x:c r="U6" s="40" t="n">
        <x:v>103440</x:v>
      </x:c>
      <x:c r="V6" s="49" t="str">
        <x:v>宫阙3级</x:v>
      </x:c>
      <x:c r="W6" s="49" t="n">
        <x:v>4</x:v>
      </x:c>
      <x:c r="X6" s="52" t="n">
        <x:f>ROUND(100*(0.4*LN(1+Q6)/LN(1+MAX($Q$5:$Q$395))+0.35*R6/MAX($R$5:$R$395)+0.15*S6/MAX($S$5:$S$395)+IF(P6="",0,0.1*P6/MAX($P$5:$P$395)))/IF(P6="",0.9,1),1)</x:f>
        <x:v>94.4</x:v>
      </x:c>
      <x:c r="Y6" s="49" t="n">
        <x:f>RANK.EQ(X6,$X$5:$X$395,0)</x:f>
        <x:v>2</x:v>
      </x:c>
      <x:c r="Z6" s="34" t="str">
        <x:v>补强一盟：总功勋、实力、战力及六维综合靠前</x:v>
      </x:c>
      <x:c r="AA6" s="55" t="str">
        <x:v>名称对应：小王爱吃车厘子、</x:v>
      </x:c>
    </x:row>
    <x:row r="7" ht="20" customHeight="1">
      <x:c r="A7" s="46" t="n">
        <x:v>204</x:v>
      </x:c>
      <x:c r="B7" s="27" t="str">
        <x:v>赵子龙</x:v>
      </x:c>
      <x:c r="C7" s="49" t="str">
        <x:v>兰亭</x:v>
      </x:c>
      <x:c r="D7" s="49" t="str">
        <x:v>兰亭</x:v>
      </x:c>
      <x:c r="E7" s="49" t="str">
        <x:v>留盟</x:v>
      </x:c>
      <x:c r="F7" s="49" t="str"/>
      <x:c r="G7" s="49"/>
      <x:c r="H7" s="37"/>
      <x:c r="I7" s="37"/>
      <x:c r="J7" s="40"/>
      <x:c r="K7" s="40"/>
      <x:c r="L7" s="40"/>
      <x:c r="M7" s="40"/>
      <x:c r="N7" s="40"/>
      <x:c r="O7" s="40"/>
      <x:c r="P7" s="40" t="str">
        <x:f>IF(COUNT(J7:O7)=0,"",SUM(J7:O7))</x:f>
      </x:c>
      <x:c r="Q7" s="40" t="n">
        <x:v>9788990640</x:v>
      </x:c>
      <x:c r="R7" s="40" t="n">
        <x:v>130692590</x:v>
      </x:c>
      <x:c r="S7" s="40" t="n">
        <x:v>372429885</x:v>
      </x:c>
      <x:c r="T7" s="40" t="n">
        <x:v>0</x:v>
      </x:c>
      <x:c r="U7" s="40" t="n">
        <x:v>140640</x:v>
      </x:c>
      <x:c r="V7" s="49" t="str">
        <x:v>宫阙3级</x:v>
      </x:c>
      <x:c r="W7" s="49" t="n">
        <x:v>3</x:v>
      </x:c>
      <x:c r="X7" s="52" t="n">
        <x:f>ROUND(100*(0.4*LN(1+Q7)/LN(1+MAX($Q$5:$Q$395))+0.35*R7/MAX($R$5:$R$395)+0.15*S7/MAX($S$5:$S$395)+IF(P7="",0,0.1*P7/MAX($P$5:$P$395)))/IF(P7="",0.9,1),1)</x:f>
        <x:v>93.4</x:v>
      </x:c>
      <x:c r="Y7" s="49" t="n">
        <x:f>RANK.EQ(X7,$X$5:$X$395,0)</x:f>
        <x:v>3</x:v>
      </x:c>
      <x:c r="Z7" s="34" t="str">
        <x:v>保留兰亭战斗骨干</x:v>
      </x:c>
      <x:c r="AA7" s="55" t="str">
        <x:v>六维未匹配</x:v>
      </x:c>
    </x:row>
    <x:row r="8" ht="20" customHeight="1">
      <x:c r="A8" s="46" t="n">
        <x:v>307</x:v>
      </x:c>
      <x:c r="B8" s="27" t="str">
        <x:v>谢烟客</x:v>
      </x:c>
      <x:c r="C8" s="49" t="str">
        <x:v>燕云</x:v>
      </x:c>
      <x:c r="D8" s="49" t="str">
        <x:v>兰亭</x:v>
      </x:c>
      <x:c r="E8" s="49" t="str">
        <x:v>燕云→兰亭</x:v>
      </x:c>
      <x:c r="F8" s="49" t="str">
        <x:v>兰亭</x:v>
      </x:c>
      <x:c r="G8" s="49" t="str">
        <x:v>兰亭</x:v>
      </x:c>
      <x:c r="H8" s="37" t="n">
        <x:v>31.8</x:v>
      </x:c>
      <x:c r="I8" s="37" t="n">
        <x:v>31.8</x:v>
      </x:c>
      <x:c r="J8" s="40" t="n">
        <x:v>943</x:v>
      </x:c>
      <x:c r="K8" s="40" t="n">
        <x:v>1237</x:v>
      </x:c>
      <x:c r="L8" s="40" t="n">
        <x:v>748</x:v>
      </x:c>
      <x:c r="M8" s="40" t="n">
        <x:v>753</x:v>
      </x:c>
      <x:c r="N8" s="40" t="n">
        <x:v>771</x:v>
      </x:c>
      <x:c r="O8" s="40" t="n">
        <x:v>1132</x:v>
      </x:c>
      <x:c r="P8" s="40" t="n">
        <x:f>IF(COUNT(J8:O8)=0,"",SUM(J8:O8))</x:f>
        <x:v>5584</x:v>
      </x:c>
      <x:c r="Q8" s="40" t="n">
        <x:v>4604815704</x:v>
      </x:c>
      <x:c r="R8" s="40" t="n">
        <x:v>127860824</x:v>
      </x:c>
      <x:c r="S8" s="40" t="n">
        <x:v>371144202</x:v>
      </x:c>
      <x:c r="T8" s="40" t="n">
        <x:v>0</x:v>
      </x:c>
      <x:c r="U8" s="40" t="n">
        <x:v>72040</x:v>
      </x:c>
      <x:c r="V8" s="49" t="str">
        <x:v>宫阙3级</x:v>
      </x:c>
      <x:c r="W8" s="49" t="n">
        <x:v>3</x:v>
      </x:c>
      <x:c r="X8" s="52" t="n">
        <x:f>ROUND(100*(0.4*LN(1+Q8)/LN(1+MAX($Q$5:$Q$395))+0.35*R8/MAX($R$5:$R$395)+0.15*S8/MAX($S$5:$S$395)+IF(P8="",0,0.1*P8/MAX($P$5:$P$395)))/IF(P8="",0.9,1),1)</x:f>
        <x:v>90.7</x:v>
      </x:c>
      <x:c r="Y8" s="49" t="n">
        <x:f>RANK.EQ(X8,$X$5:$X$395,0)</x:f>
        <x:v>4</x:v>
      </x:c>
      <x:c r="Z8" s="34" t="str">
        <x:v>补强一盟：总功勋、实力、战力及六维综合靠前</x:v>
      </x:c>
      <x:c r="AA8" s="55"/>
    </x:row>
    <x:row r="9" ht="20" customHeight="1">
      <x:c r="A9" s="46" t="n">
        <x:v>226</x:v>
      </x:c>
      <x:c r="B9" s="27" t="str">
        <x:v>政乔乔</x:v>
      </x:c>
      <x:c r="C9" s="49" t="str">
        <x:v>兰亭</x:v>
      </x:c>
      <x:c r="D9" s="49" t="str">
        <x:v>兰亭</x:v>
      </x:c>
      <x:c r="E9" s="49" t="str">
        <x:v>留盟</x:v>
      </x:c>
      <x:c r="F9" s="49" t="str"/>
      <x:c r="G9" s="49" t="str">
        <x:v>兰亭</x:v>
      </x:c>
      <x:c r="H9" s="37" t="n">
        <x:v>28.8</x:v>
      </x:c>
      <x:c r="I9" s="37" t="n">
        <x:v>28.8</x:v>
      </x:c>
      <x:c r="J9" s="40" t="n">
        <x:v>1000</x:v>
      </x:c>
      <x:c r="K9" s="40" t="n">
        <x:v>1247</x:v>
      </x:c>
      <x:c r="L9" s="40" t="n">
        <x:v>788</x:v>
      </x:c>
      <x:c r="M9" s="40" t="n">
        <x:v>846</x:v>
      </x:c>
      <x:c r="N9" s="40" t="n">
        <x:v>858</x:v>
      </x:c>
      <x:c r="O9" s="40" t="n">
        <x:v>1129</x:v>
      </x:c>
      <x:c r="P9" s="40" t="n">
        <x:f>IF(COUNT(J9:O9)=0,"",SUM(J9:O9))</x:f>
        <x:v>5868</x:v>
      </x:c>
      <x:c r="Q9" s="40" t="n">
        <x:v>4834040564</x:v>
      </x:c>
      <x:c r="R9" s="40" t="n">
        <x:v>114322936</x:v>
      </x:c>
      <x:c r="S9" s="40" t="n">
        <x:v>445437687</x:v>
      </x:c>
      <x:c r="T9" s="40" t="n">
        <x:v>0</x:v>
      </x:c>
      <x:c r="U9" s="40" t="n">
        <x:v>87360</x:v>
      </x:c>
      <x:c r="V9" s="49" t="str">
        <x:v>宫阙3级</x:v>
      </x:c>
      <x:c r="W9" s="49" t="n">
        <x:v>3</x:v>
      </x:c>
      <x:c r="X9" s="52" t="n">
        <x:f>ROUND(100*(0.4*LN(1+Q9)/LN(1+MAX($Q$5:$Q$395))+0.35*R9/MAX($R$5:$R$395)+0.15*S9/MAX($S$5:$S$395)+IF(P9="",0,0.1*P9/MAX($P$5:$P$395)))/IF(P9="",0.9,1),1)</x:f>
        <x:v>89.9</x:v>
      </x:c>
      <x:c r="Y9" s="49" t="n">
        <x:f>RANK.EQ(X9,$X$5:$X$395,0)</x:f>
        <x:v>5</x:v>
      </x:c>
      <x:c r="Z9" s="34" t="str">
        <x:v>保留兰亭战斗骨干</x:v>
      </x:c>
      <x:c r="AA9" s="55"/>
    </x:row>
    <x:row r="10" ht="20" customHeight="1">
      <x:c r="A10" s="46" t="n">
        <x:v>104</x:v>
      </x:c>
      <x:c r="B10" s="27" t="str">
        <x:v>小太子奶</x:v>
      </x:c>
      <x:c r="C10" s="49" t="str">
        <x:v>玲珑</x:v>
      </x:c>
      <x:c r="D10" s="49" t="str">
        <x:v>兰亭</x:v>
      </x:c>
      <x:c r="E10" s="49" t="str">
        <x:v>玲珑→兰亭</x:v>
      </x:c>
      <x:c r="F10" s="49" t="str">
        <x:v>兰亭</x:v>
      </x:c>
      <x:c r="G10" s="49" t="str">
        <x:v>兰亭</x:v>
      </x:c>
      <x:c r="H10" s="37" t="n">
        <x:v>31.8</x:v>
      </x:c>
      <x:c r="I10" s="37" t="n">
        <x:v>31.8</x:v>
      </x:c>
      <x:c r="J10" s="40" t="n">
        <x:v>988</x:v>
      </x:c>
      <x:c r="K10" s="40" t="n">
        <x:v>1318</x:v>
      </x:c>
      <x:c r="L10" s="40" t="n">
        <x:v>788</x:v>
      </x:c>
      <x:c r="M10" s="40" t="n">
        <x:v>988</x:v>
      </x:c>
      <x:c r="N10" s="40" t="n">
        <x:v>858</x:v>
      </x:c>
      <x:c r="O10" s="40" t="n">
        <x:v>1136</x:v>
      </x:c>
      <x:c r="P10" s="40" t="n">
        <x:f>IF(COUNT(J10:O10)=0,"",SUM(J10:O10))</x:f>
        <x:v>6076</x:v>
      </x:c>
      <x:c r="Q10" s="40" t="n">
        <x:v>7138481012</x:v>
      </x:c>
      <x:c r="R10" s="40" t="n">
        <x:v>119041565</x:v>
      </x:c>
      <x:c r="S10" s="40" t="n">
        <x:v>321421839</x:v>
      </x:c>
      <x:c r="T10" s="40" t="n">
        <x:v>0</x:v>
      </x:c>
      <x:c r="U10" s="40" t="n">
        <x:v>98200</x:v>
      </x:c>
      <x:c r="V10" s="49" t="str">
        <x:v>宫阙3级</x:v>
      </x:c>
      <x:c r="W10" s="49" t="n">
        <x:v>4</x:v>
      </x:c>
      <x:c r="X10" s="52" t="n">
        <x:f>ROUND(100*(0.4*LN(1+Q10)/LN(1+MAX($Q$5:$Q$395))+0.35*R10/MAX($R$5:$R$395)+0.15*S10/MAX($S$5:$S$395)+IF(P10="",0,0.1*P10/MAX($P$5:$P$395)))/IF(P10="",0.9,1),1)</x:f>
        <x:v>88.5</x:v>
      </x:c>
      <x:c r="Y10" s="49" t="n">
        <x:f>RANK.EQ(X10,$X$5:$X$395,0)</x:f>
        <x:v>6</x:v>
      </x:c>
      <x:c r="Z10" s="34" t="str">
        <x:v>补强一盟：总功勋、实力、战力及六维综合靠前</x:v>
      </x:c>
      <x:c r="AA10" s="55"/>
    </x:row>
    <x:row r="11" ht="20" customHeight="1">
      <x:c r="A11" s="46" t="n">
        <x:v>213</x:v>
      </x:c>
      <x:c r="B11" s="27" t="str">
        <x:v>卡丨卡</x:v>
      </x:c>
      <x:c r="C11" s="49" t="str">
        <x:v>兰亭</x:v>
      </x:c>
      <x:c r="D11" s="49" t="str">
        <x:v>兰亭</x:v>
      </x:c>
      <x:c r="E11" s="49" t="str">
        <x:v>留盟</x:v>
      </x:c>
      <x:c r="F11" s="49" t="str"/>
      <x:c r="G11" s="49"/>
      <x:c r="H11" s="37"/>
      <x:c r="I11" s="37"/>
      <x:c r="J11" s="40"/>
      <x:c r="K11" s="40"/>
      <x:c r="L11" s="40"/>
      <x:c r="M11" s="40"/>
      <x:c r="N11" s="40"/>
      <x:c r="O11" s="40"/>
      <x:c r="P11" s="40" t="str">
        <x:f>IF(COUNT(J11:O11)=0,"",SUM(J11:O11))</x:f>
      </x:c>
      <x:c r="Q11" s="40" t="n">
        <x:v>5954717942</x:v>
      </x:c>
      <x:c r="R11" s="40" t="n">
        <x:v>110269843</x:v>
      </x:c>
      <x:c r="S11" s="40" t="n">
        <x:v>416553480</x:v>
      </x:c>
      <x:c r="T11" s="40" t="n">
        <x:v>0</x:v>
      </x:c>
      <x:c r="U11" s="40" t="n">
        <x:v>105600</x:v>
      </x:c>
      <x:c r="V11" s="49" t="str">
        <x:v>宫阙3级</x:v>
      </x:c>
      <x:c r="W11" s="49" t="n">
        <x:v>1</x:v>
      </x:c>
      <x:c r="X11" s="52" t="n">
        <x:f>ROUND(100*(0.4*LN(1+Q11)/LN(1+MAX($Q$5:$Q$395))+0.35*R11/MAX($R$5:$R$395)+0.15*S11/MAX($S$5:$S$395)+IF(P11="",0,0.1*P11/MAX($P$5:$P$395)))/IF(P11="",0.9,1),1)</x:f>
        <x:v>88</x:v>
      </x:c>
      <x:c r="Y11" s="49" t="n">
        <x:f>RANK.EQ(X11,$X$5:$X$395,0)</x:f>
        <x:v>7</x:v>
      </x:c>
      <x:c r="Z11" s="34" t="str">
        <x:v>保留兰亭战斗骨干</x:v>
      </x:c>
      <x:c r="AA11" s="55" t="str">
        <x:v>六维未匹配</x:v>
      </x:c>
    </x:row>
    <x:row r="12" ht="20" customHeight="1">
      <x:c r="A12" s="46" t="n">
        <x:v>299</x:v>
      </x:c>
      <x:c r="B12" s="27" t="str">
        <x:v>大寒空空</x:v>
      </x:c>
      <x:c r="C12" s="49" t="str">
        <x:v>燕云</x:v>
      </x:c>
      <x:c r="D12" s="49" t="str">
        <x:v>兰亭</x:v>
      </x:c>
      <x:c r="E12" s="49" t="str">
        <x:v>燕云→兰亭</x:v>
      </x:c>
      <x:c r="F12" s="49" t="str">
        <x:v>兰亭</x:v>
      </x:c>
      <x:c r="G12" s="49" t="str">
        <x:v>兰亭</x:v>
      </x:c>
      <x:c r="H12" s="37" t="n">
        <x:v>31.8</x:v>
      </x:c>
      <x:c r="I12" s="37" t="n">
        <x:v>28.8</x:v>
      </x:c>
      <x:c r="J12" s="40" t="n">
        <x:v>970</x:v>
      </x:c>
      <x:c r="K12" s="40" t="n">
        <x:v>1295</x:v>
      </x:c>
      <x:c r="L12" s="40" t="n">
        <x:v>705</x:v>
      </x:c>
      <x:c r="M12" s="40" t="n">
        <x:v>872</x:v>
      </x:c>
      <x:c r="N12" s="40" t="n">
        <x:v>772</x:v>
      </x:c>
      <x:c r="O12" s="40" t="n">
        <x:v>1043</x:v>
      </x:c>
      <x:c r="P12" s="40" t="n">
        <x:f>IF(COUNT(J12:O12)=0,"",SUM(J12:O12))</x:f>
        <x:v>5657</x:v>
      </x:c>
      <x:c r="Q12" s="40" t="n">
        <x:v>12229399950</x:v>
      </x:c>
      <x:c r="R12" s="40" t="n">
        <x:v>119496319</x:v>
      </x:c>
      <x:c r="S12" s="40" t="n">
        <x:v>280019475</x:v>
      </x:c>
      <x:c r="T12" s="40" t="n">
        <x:v>0</x:v>
      </x:c>
      <x:c r="U12" s="40" t="n">
        <x:v>41520</x:v>
      </x:c>
      <x:c r="V12" s="49" t="str">
        <x:v>宫阙3级</x:v>
      </x:c>
      <x:c r="W12" s="49" t="n">
        <x:v>3</x:v>
      </x:c>
      <x:c r="X12" s="52" t="n">
        <x:f>ROUND(100*(0.4*LN(1+Q12)/LN(1+MAX($Q$5:$Q$395))+0.35*R12/MAX($R$5:$R$395)+0.15*S12/MAX($S$5:$S$395)+IF(P12="",0,0.1*P12/MAX($P$5:$P$395)))/IF(P12="",0.9,1),1)</x:f>
        <x:v>87.7</x:v>
      </x:c>
      <x:c r="Y12" s="49" t="n">
        <x:f>RANK.EQ(X12,$X$5:$X$395,0)</x:f>
        <x:v>8</x:v>
      </x:c>
      <x:c r="Z12" s="34" t="str">
        <x:v>补强一盟：总功勋、实力、战力及六维综合靠前</x:v>
      </x:c>
      <x:c r="AA12" s="55"/>
    </x:row>
    <x:row r="13" ht="20" customHeight="1">
      <x:c r="A13" s="46" t="n">
        <x:v>142</x:v>
      </x:c>
      <x:c r="B13" s="27" t="str">
        <x:v>月溅星河</x:v>
      </x:c>
      <x:c r="C13" s="49" t="str">
        <x:v>玲珑</x:v>
      </x:c>
      <x:c r="D13" s="49" t="str">
        <x:v>兰亭</x:v>
      </x:c>
      <x:c r="E13" s="49" t="str">
        <x:v>玲珑→兰亭</x:v>
      </x:c>
      <x:c r="F13" s="49" t="str">
        <x:v>兰亭</x:v>
      </x:c>
      <x:c r="G13" s="49" t="str">
        <x:v>兰亭</x:v>
      </x:c>
      <x:c r="H13" s="37" t="n">
        <x:v>30.8</x:v>
      </x:c>
      <x:c r="I13" s="37" t="n">
        <x:v>30.8</x:v>
      </x:c>
      <x:c r="J13" s="40" t="n">
        <x:v>980</x:v>
      </x:c>
      <x:c r="K13" s="40" t="n">
        <x:v>1215</x:v>
      </x:c>
      <x:c r="L13" s="40" t="n">
        <x:v>816</x:v>
      </x:c>
      <x:c r="M13" s="40" t="n">
        <x:v>1011</x:v>
      </x:c>
      <x:c r="N13" s="40" t="n">
        <x:v>893</x:v>
      </x:c>
      <x:c r="O13" s="40" t="n">
        <x:v>1109</x:v>
      </x:c>
      <x:c r="P13" s="40" t="n">
        <x:f>IF(COUNT(J13:O13)=0,"",SUM(J13:O13))</x:f>
        <x:v>6024</x:v>
      </x:c>
      <x:c r="Q13" s="40" t="n">
        <x:v>2129796306</x:v>
      </x:c>
      <x:c r="R13" s="40" t="n">
        <x:v>121310088</x:v>
      </x:c>
      <x:c r="S13" s="40" t="n">
        <x:v>342534463</x:v>
      </x:c>
      <x:c r="T13" s="40" t="n">
        <x:v>0</x:v>
      </x:c>
      <x:c r="U13" s="40" t="n">
        <x:v>75600</x:v>
      </x:c>
      <x:c r="V13" s="49" t="str">
        <x:v>宫阙3级</x:v>
      </x:c>
      <x:c r="W13" s="49" t="n">
        <x:v>3</x:v>
      </x:c>
      <x:c r="X13" s="52" t="n">
        <x:f>ROUND(100*(0.4*LN(1+Q13)/LN(1+MAX($Q$5:$Q$395))+0.35*R13/MAX($R$5:$R$395)+0.15*S13/MAX($S$5:$S$395)+IF(P13="",0,0.1*P13/MAX($P$5:$P$395)))/IF(P13="",0.9,1),1)</x:f>
        <x:v>87.5</x:v>
      </x:c>
      <x:c r="Y13" s="49" t="n">
        <x:f>RANK.EQ(X13,$X$5:$X$395,0)</x:f>
        <x:v>9</x:v>
      </x:c>
      <x:c r="Z13" s="34" t="str">
        <x:v>补强一盟：总功勋、实力、战力及六维综合靠前</x:v>
      </x:c>
      <x:c r="AA13" s="55"/>
    </x:row>
    <x:row r="14" ht="20" customHeight="1">
      <x:c r="A14" s="46" t="n">
        <x:v>310</x:v>
      </x:c>
      <x:c r="B14" s="27" t="str">
        <x:v>我佛慈悲</x:v>
      </x:c>
      <x:c r="C14" s="49" t="str">
        <x:v>燕云</x:v>
      </x:c>
      <x:c r="D14" s="49" t="str">
        <x:v>兰亭</x:v>
      </x:c>
      <x:c r="E14" s="49" t="str">
        <x:v>燕云→兰亭</x:v>
      </x:c>
      <x:c r="F14" s="49" t="str">
        <x:v>兰亭</x:v>
      </x:c>
      <x:c r="G14" s="49"/>
      <x:c r="H14" s="37"/>
      <x:c r="I14" s="37"/>
      <x:c r="J14" s="40"/>
      <x:c r="K14" s="40"/>
      <x:c r="L14" s="40"/>
      <x:c r="M14" s="40"/>
      <x:c r="N14" s="40"/>
      <x:c r="O14" s="40"/>
      <x:c r="P14" s="40" t="str">
        <x:f>IF(COUNT(J14:O14)=0,"",SUM(J14:O14))</x:f>
      </x:c>
      <x:c r="Q14" s="40" t="n">
        <x:v>3714862802</x:v>
      </x:c>
      <x:c r="R14" s="40" t="n">
        <x:v>126851230</x:v>
      </x:c>
      <x:c r="S14" s="40" t="n">
        <x:v>273430708</x:v>
      </x:c>
      <x:c r="T14" s="40" t="n">
        <x:v>0</x:v>
      </x:c>
      <x:c r="U14" s="40" t="n">
        <x:v>16800</x:v>
      </x:c>
      <x:c r="V14" s="49" t="str">
        <x:v>宫阙3级</x:v>
      </x:c>
      <x:c r="W14" s="49" t="n">
        <x:v>4</x:v>
      </x:c>
      <x:c r="X14" s="52" t="n">
        <x:f>ROUND(100*(0.4*LN(1+Q14)/LN(1+MAX($Q$5:$Q$395))+0.35*R14/MAX($R$5:$R$395)+0.15*S14/MAX($S$5:$S$395)+IF(P14="",0,0.1*P14/MAX($P$5:$P$395)))/IF(P14="",0.9,1),1)</x:f>
        <x:v>87.2</x:v>
      </x:c>
      <x:c r="Y14" s="49" t="n">
        <x:f>RANK.EQ(X14,$X$5:$X$395,0)</x:f>
        <x:v>10</x:v>
      </x:c>
      <x:c r="Z14" s="34" t="str">
        <x:v>补强一盟：总功勋、实力、战力及六维综合靠前</x:v>
      </x:c>
      <x:c r="AA14" s="55" t="str">
        <x:v>六维未匹配</x:v>
      </x:c>
    </x:row>
    <x:row r="15" ht="20" customHeight="1">
      <x:c r="A15" s="46" t="n">
        <x:v>122</x:v>
      </x:c>
      <x:c r="B15" s="27" t="str">
        <x:v>蓝天予你</x:v>
      </x:c>
      <x:c r="C15" s="49" t="str">
        <x:v>玲珑</x:v>
      </x:c>
      <x:c r="D15" s="49" t="str">
        <x:v>兰亭</x:v>
      </x:c>
      <x:c r="E15" s="49" t="str">
        <x:v>玲珑→兰亭</x:v>
      </x:c>
      <x:c r="F15" s="49" t="str"/>
      <x:c r="G15" s="49"/>
      <x:c r="H15" s="37"/>
      <x:c r="I15" s="37"/>
      <x:c r="J15" s="40"/>
      <x:c r="K15" s="40"/>
      <x:c r="L15" s="40"/>
      <x:c r="M15" s="40"/>
      <x:c r="N15" s="40"/>
      <x:c r="O15" s="40"/>
      <x:c r="P15" s="40" t="str">
        <x:f>IF(COUNT(J15:O15)=0,"",SUM(J15:O15))</x:f>
      </x:c>
      <x:c r="Q15" s="40" t="n">
        <x:v>4418436658</x:v>
      </x:c>
      <x:c r="R15" s="40" t="n">
        <x:v>118628524</x:v>
      </x:c>
      <x:c r="S15" s="40" t="n">
        <x:v>320613957</x:v>
      </x:c>
      <x:c r="T15" s="40" t="n">
        <x:v>0</x:v>
      </x:c>
      <x:c r="U15" s="40" t="n">
        <x:v>61920</x:v>
      </x:c>
      <x:c r="V15" s="49" t="str">
        <x:v>宫阙3级</x:v>
      </x:c>
      <x:c r="W15" s="49" t="n">
        <x:v>3</x:v>
      </x:c>
      <x:c r="X15" s="52" t="n">
        <x:f>ROUND(100*(0.4*LN(1+Q15)/LN(1+MAX($Q$5:$Q$395))+0.35*R15/MAX($R$5:$R$395)+0.15*S15/MAX($S$5:$S$395)+IF(P15="",0,0.1*P15/MAX($P$5:$P$395)))/IF(P15="",0.9,1),1)</x:f>
        <x:v>86.7</x:v>
      </x:c>
      <x:c r="Y15" s="49" t="n">
        <x:f>RANK.EQ(X15,$X$5:$X$395,0)</x:f>
        <x:v>11</x:v>
      </x:c>
      <x:c r="Z15" s="34" t="str">
        <x:v>补强一盟：总功勋、实力、战力及六维综合靠前</x:v>
      </x:c>
      <x:c r="AA15" s="55" t="str">
        <x:v>六维未匹配</x:v>
      </x:c>
    </x:row>
    <x:row r="16" ht="20" customHeight="1">
      <x:c r="A16" s="46" t="n">
        <x:v>219</x:v>
      </x:c>
      <x:c r="B16" s="27" t="str">
        <x:v>浪子丨你瞅啥</x:v>
      </x:c>
      <x:c r="C16" s="49" t="str">
        <x:v>兰亭</x:v>
      </x:c>
      <x:c r="D16" s="49" t="str">
        <x:v>兰亭</x:v>
      </x:c>
      <x:c r="E16" s="49" t="str">
        <x:v>留盟</x:v>
      </x:c>
      <x:c r="F16" s="49" t="str">
        <x:v>花晨</x:v>
      </x:c>
      <x:c r="G16" s="49" t="str">
        <x:v>兰亭</x:v>
      </x:c>
      <x:c r="H16" s="37" t="n">
        <x:v>28.72</x:v>
      </x:c>
      <x:c r="I16" s="37" t="n">
        <x:v>28.72</x:v>
      </x:c>
      <x:c r="J16" s="40" t="n">
        <x:v>826</x:v>
      </x:c>
      <x:c r="K16" s="40" t="n">
        <x:v>1077</x:v>
      </x:c>
      <x:c r="L16" s="40" t="n">
        <x:v>669</x:v>
      </x:c>
      <x:c r="M16" s="40" t="n">
        <x:v>683</x:v>
      </x:c>
      <x:c r="N16" s="40" t="n">
        <x:v>775</x:v>
      </x:c>
      <x:c r="O16" s="40" t="n">
        <x:v>906</x:v>
      </x:c>
      <x:c r="P16" s="40" t="n">
        <x:f>IF(COUNT(J16:O16)=0,"",SUM(J16:O16))</x:f>
        <x:v>4936</x:v>
      </x:c>
      <x:c r="Q16" s="40" t="n">
        <x:v>5285041094</x:v>
      </x:c>
      <x:c r="R16" s="40" t="n">
        <x:v>109059421</x:v>
      </x:c>
      <x:c r="S16" s="40" t="n">
        <x:v>421890119</x:v>
      </x:c>
      <x:c r="T16" s="40" t="n">
        <x:v>0</x:v>
      </x:c>
      <x:c r="U16" s="40" t="n">
        <x:v>0</x:v>
      </x:c>
      <x:c r="V16" s="49" t="str">
        <x:v>宫阙3级</x:v>
      </x:c>
      <x:c r="W16" s="49" t="n">
        <x:v>1</x:v>
      </x:c>
      <x:c r="X16" s="52" t="n">
        <x:f>ROUND(100*(0.4*LN(1+Q16)/LN(1+MAX($Q$5:$Q$395))+0.35*R16/MAX($R$5:$R$395)+0.15*S16/MAX($S$5:$S$395)+IF(P16="",0,0.1*P16/MAX($P$5:$P$395)))/IF(P16="",0.9,1),1)</x:f>
        <x:v>86.5</x:v>
      </x:c>
      <x:c r="Y16" s="49" t="n">
        <x:f>RANK.EQ(X16,$X$5:$X$395,0)</x:f>
        <x:v>12</x:v>
      </x:c>
      <x:c r="Z16" s="34" t="str">
        <x:v>保留兰亭战斗骨干</x:v>
      </x:c>
      <x:c r="AA16" s="55"/>
    </x:row>
    <x:row r="17" ht="20" customHeight="1">
      <x:c r="A17" s="46" t="n">
        <x:v>202</x:v>
      </x:c>
      <x:c r="B17" s="27" t="str">
        <x:v>策划他二大爷</x:v>
      </x:c>
      <x:c r="C17" s="49" t="str">
        <x:v>兰亭</x:v>
      </x:c>
      <x:c r="D17" s="49" t="str">
        <x:v>兰亭</x:v>
      </x:c>
      <x:c r="E17" s="49" t="str">
        <x:v>留盟</x:v>
      </x:c>
      <x:c r="F17" s="49" t="str"/>
      <x:c r="G17" s="49" t="str">
        <x:v>兰亭</x:v>
      </x:c>
      <x:c r="H17" s="37" t="n">
        <x:v>30</x:v>
      </x:c>
      <x:c r="I17" s="37" t="n">
        <x:v>22.8</x:v>
      </x:c>
      <x:c r="J17" s="40" t="n">
        <x:v>893</x:v>
      </x:c>
      <x:c r="K17" s="40" t="n">
        <x:v>1084</x:v>
      </x:c>
      <x:c r="L17" s="40" t="n">
        <x:v>748</x:v>
      </x:c>
      <x:c r="M17" s="40" t="n">
        <x:v>791</x:v>
      </x:c>
      <x:c r="N17" s="40" t="n">
        <x:v>815</x:v>
      </x:c>
      <x:c r="O17" s="40" t="n">
        <x:v>937</x:v>
      </x:c>
      <x:c r="P17" s="40" t="n">
        <x:f>IF(COUNT(J17:O17)=0,"",SUM(J17:O17))</x:f>
        <x:v>5268</x:v>
      </x:c>
      <x:c r="Q17" s="40" t="n">
        <x:v>10541967282</x:v>
      </x:c>
      <x:c r="R17" s="40" t="n">
        <x:v>115603864</x:v>
      </x:c>
      <x:c r="S17" s="40" t="n">
        <x:v>287931925</x:v>
      </x:c>
      <x:c r="T17" s="40" t="n">
        <x:v>0</x:v>
      </x:c>
      <x:c r="U17" s="40" t="n">
        <x:v>140400</x:v>
      </x:c>
      <x:c r="V17" s="49" t="str">
        <x:v>宫阙3级</x:v>
      </x:c>
      <x:c r="W17" s="49" t="n">
        <x:v>2</x:v>
      </x:c>
      <x:c r="X17" s="52" t="n">
        <x:f>ROUND(100*(0.4*LN(1+Q17)/LN(1+MAX($Q$5:$Q$395))+0.35*R17/MAX($R$5:$R$395)+0.15*S17/MAX($S$5:$S$395)+IF(P17="",0,0.1*P17/MAX($P$5:$P$395)))/IF(P17="",0.9,1),1)</x:f>
        <x:v>86</x:v>
      </x:c>
      <x:c r="Y17" s="49" t="n">
        <x:f>RANK.EQ(X17,$X$5:$X$395,0)</x:f>
        <x:v>13</x:v>
      </x:c>
      <x:c r="Z17" s="34" t="str">
        <x:v>保留兰亭战斗骨干</x:v>
      </x:c>
      <x:c r="AA17" s="55"/>
    </x:row>
    <x:row r="18" ht="20" customHeight="1">
      <x:c r="A18" s="46" t="n">
        <x:v>200</x:v>
      </x:c>
      <x:c r="B18" s="27" t="str">
        <x:v>云阁问道</x:v>
      </x:c>
      <x:c r="C18" s="49" t="str">
        <x:v>兰亭</x:v>
      </x:c>
      <x:c r="D18" s="49" t="str">
        <x:v>兰亭</x:v>
      </x:c>
      <x:c r="E18" s="49" t="str">
        <x:v>留盟</x:v>
      </x:c>
      <x:c r="F18" s="49" t="str">
        <x:v>玲珑</x:v>
      </x:c>
      <x:c r="G18" s="49" t="str">
        <x:v>兰亭</x:v>
      </x:c>
      <x:c r="H18" s="37" t="n">
        <x:v>28.8</x:v>
      </x:c>
      <x:c r="I18" s="37" t="n">
        <x:v>28.8</x:v>
      </x:c>
      <x:c r="J18" s="40" t="n">
        <x:v>949</x:v>
      </x:c>
      <x:c r="K18" s="40" t="n">
        <x:v>1066</x:v>
      </x:c>
      <x:c r="L18" s="40" t="n">
        <x:v>843</x:v>
      </x:c>
      <x:c r="M18" s="40" t="n">
        <x:v>884</x:v>
      </x:c>
      <x:c r="N18" s="40" t="n">
        <x:v>929</x:v>
      </x:c>
      <x:c r="O18" s="40" t="n">
        <x:v>1104</x:v>
      </x:c>
      <x:c r="P18" s="40" t="n">
        <x:f>IF(COUNT(J18:O18)=0,"",SUM(J18:O18))</x:f>
        <x:v>5775</x:v>
      </x:c>
      <x:c r="Q18" s="40" t="n">
        <x:v>12718091329</x:v>
      </x:c>
      <x:c r="R18" s="40" t="n">
        <x:v>105048206</x:v>
      </x:c>
      <x:c r="S18" s="40" t="n">
        <x:v>331966963</x:v>
      </x:c>
      <x:c r="T18" s="40" t="n">
        <x:v>0</x:v>
      </x:c>
      <x:c r="U18" s="40" t="n">
        <x:v>186960</x:v>
      </x:c>
      <x:c r="V18" s="49" t="str">
        <x:v>宫阙3级</x:v>
      </x:c>
      <x:c r="W18" s="49" t="n">
        <x:v>4</x:v>
      </x:c>
      <x:c r="X18" s="52" t="n">
        <x:f>ROUND(100*(0.4*LN(1+Q18)/LN(1+MAX($Q$5:$Q$395))+0.35*R18/MAX($R$5:$R$395)+0.15*S18/MAX($S$5:$S$395)+IF(P18="",0,0.1*P18/MAX($P$5:$P$395)))/IF(P18="",0.9,1),1)</x:f>
        <x:v>85.7</x:v>
      </x:c>
      <x:c r="Y18" s="49" t="n">
        <x:f>RANK.EQ(X18,$X$5:$X$395,0)</x:f>
        <x:v>14</x:v>
      </x:c>
      <x:c r="Z18" s="34" t="str">
        <x:v>保留兰亭战斗骨干</x:v>
      </x:c>
      <x:c r="AA18" s="55"/>
    </x:row>
    <x:row r="19" ht="20" customHeight="1">
      <x:c r="A19" s="46" t="n">
        <x:v>10</x:v>
      </x:c>
      <x:c r="B19" s="27" t="str">
        <x:v>霸道大叔孟鹤堂</x:v>
      </x:c>
      <x:c r="C19" s="49" t="str">
        <x:v>花晨</x:v>
      </x:c>
      <x:c r="D19" s="49" t="str">
        <x:v>兰亭</x:v>
      </x:c>
      <x:c r="E19" s="49" t="str">
        <x:v>花晨→兰亭</x:v>
      </x:c>
      <x:c r="F19" s="49" t="str"/>
      <x:c r="G19" s="49" t="str">
        <x:v>兰亭</x:v>
      </x:c>
      <x:c r="H19" s="37" t="n">
        <x:v>28.88</x:v>
      </x:c>
      <x:c r="I19" s="37" t="n">
        <x:v>28.8</x:v>
      </x:c>
      <x:c r="J19" s="40" t="n">
        <x:v>900</x:v>
      </x:c>
      <x:c r="K19" s="40" t="n">
        <x:v>1200</x:v>
      </x:c>
      <x:c r="L19" s="40" t="n">
        <x:v>800</x:v>
      </x:c>
      <x:c r="M19" s="40" t="n">
        <x:v>850</x:v>
      </x:c>
      <x:c r="N19" s="40" t="n">
        <x:v>950</x:v>
      </x:c>
      <x:c r="O19" s="40" t="n">
        <x:v>1200</x:v>
      </x:c>
      <x:c r="P19" s="40" t="n">
        <x:f>IF(COUNT(J19:O19)=0,"",SUM(J19:O19))</x:f>
        <x:v>5900</x:v>
      </x:c>
      <x:c r="Q19" s="40" t="n">
        <x:v>7881358290</x:v>
      </x:c>
      <x:c r="R19" s="40" t="n">
        <x:v>108274437</x:v>
      </x:c>
      <x:c r="S19" s="40" t="n">
        <x:v>322083652</x:v>
      </x:c>
      <x:c r="T19" s="40" t="n">
        <x:v>0</x:v>
      </x:c>
      <x:c r="U19" s="40" t="n">
        <x:v>98440</x:v>
      </x:c>
      <x:c r="V19" s="49" t="str">
        <x:v>宫阙3级</x:v>
      </x:c>
      <x:c r="W19" s="49" t="n">
        <x:v>4</x:v>
      </x:c>
      <x:c r="X19" s="52" t="n">
        <x:f>ROUND(100*(0.4*LN(1+Q19)/LN(1+MAX($Q$5:$Q$395))+0.35*R19/MAX($R$5:$R$395)+0.15*S19/MAX($S$5:$S$395)+IF(P19="",0,0.1*P19/MAX($P$5:$P$395)))/IF(P19="",0.9,1),1)</x:f>
        <x:v>85.6</x:v>
      </x:c>
      <x:c r="Y19" s="49" t="n">
        <x:f>RANK.EQ(X19,$X$5:$X$395,0)</x:f>
        <x:v>15</x:v>
      </x:c>
      <x:c r="Z19" s="34" t="str">
        <x:v>补强一盟：总功勋、实力、战力及六维综合靠前</x:v>
      </x:c>
      <x:c r="AA19" s="55"/>
    </x:row>
    <x:row r="20" ht="20" customHeight="1">
      <x:c r="A20" s="46" t="n">
        <x:v>3</x:v>
      </x:c>
      <x:c r="B20" s="27" t="str">
        <x:v>九幽睡不醒</x:v>
      </x:c>
      <x:c r="C20" s="49" t="str">
        <x:v>花晨</x:v>
      </x:c>
      <x:c r="D20" s="49" t="str">
        <x:v>兰亭</x:v>
      </x:c>
      <x:c r="E20" s="49" t="str">
        <x:v>花晨→兰亭</x:v>
      </x:c>
      <x:c r="F20" s="49" t="str">
        <x:v>花晨</x:v>
      </x:c>
      <x:c r="G20" s="49" t="str">
        <x:v>兰亭</x:v>
      </x:c>
      <x:c r="H20" s="37" t="n">
        <x:v>31.3</x:v>
      </x:c>
      <x:c r="I20" s="37" t="n">
        <x:v>28.8</x:v>
      </x:c>
      <x:c r="J20" s="40" t="n">
        <x:v>1004</x:v>
      </x:c>
      <x:c r="K20" s="40" t="n">
        <x:v>1166</x:v>
      </x:c>
      <x:c r="L20" s="40" t="n">
        <x:v>787</x:v>
      </x:c>
      <x:c r="M20" s="40" t="n">
        <x:v>847</x:v>
      </x:c>
      <x:c r="N20" s="40" t="n">
        <x:v>846</x:v>
      </x:c>
      <x:c r="O20" s="40" t="n">
        <x:v>1011</x:v>
      </x:c>
      <x:c r="P20" s="40" t="n">
        <x:f>IF(COUNT(J20:O20)=0,"",SUM(J20:O20))</x:f>
        <x:v>5661</x:v>
      </x:c>
      <x:c r="Q20" s="40" t="n">
        <x:v>11237254930</x:v>
      </x:c>
      <x:c r="R20" s="40" t="n">
        <x:v>110432752</x:v>
      </x:c>
      <x:c r="S20" s="40" t="n">
        <x:v>287946821</x:v>
      </x:c>
      <x:c r="T20" s="40" t="n">
        <x:v>0</x:v>
      </x:c>
      <x:c r="U20" s="40" t="n">
        <x:v>196080</x:v>
      </x:c>
      <x:c r="V20" s="49" t="str">
        <x:v>宫阙3级</x:v>
      </x:c>
      <x:c r="W20" s="49" t="n">
        <x:v>1</x:v>
      </x:c>
      <x:c r="X20" s="52" t="n">
        <x:f>ROUND(100*(0.4*LN(1+Q20)/LN(1+MAX($Q$5:$Q$395))+0.35*R20/MAX($R$5:$R$395)+0.15*S20/MAX($S$5:$S$395)+IF(P20="",0,0.1*P20/MAX($P$5:$P$395)))/IF(P20="",0.9,1),1)</x:f>
        <x:v>85.4</x:v>
      </x:c>
      <x:c r="Y20" s="49" t="n">
        <x:f>RANK.EQ(X20,$X$5:$X$395,0)</x:f>
        <x:v>16</x:v>
      </x:c>
      <x:c r="Z20" s="34" t="str">
        <x:v>补强一盟：总功勋、实力、战力及六维综合靠前</x:v>
      </x:c>
      <x:c r="AA20" s="55"/>
    </x:row>
    <x:row r="21" ht="20" customHeight="1">
      <x:c r="A21" s="46" t="n">
        <x:v>113</x:v>
      </x:c>
      <x:c r="B21" s="27" t="str">
        <x:v>充电宝</x:v>
      </x:c>
      <x:c r="C21" s="49" t="str">
        <x:v>玲珑</x:v>
      </x:c>
      <x:c r="D21" s="49" t="str">
        <x:v>兰亭</x:v>
      </x:c>
      <x:c r="E21" s="49" t="str">
        <x:v>玲珑→兰亭</x:v>
      </x:c>
      <x:c r="F21" s="49" t="str">
        <x:v>兰亭</x:v>
      </x:c>
      <x:c r="G21" s="49" t="str">
        <x:v>兰亭</x:v>
      </x:c>
      <x:c r="H21" s="37" t="n">
        <x:v>28.8</x:v>
      </x:c>
      <x:c r="I21" s="37" t="n">
        <x:v>22.5</x:v>
      </x:c>
      <x:c r="J21" s="40" t="n">
        <x:v>814</x:v>
      </x:c>
      <x:c r="K21" s="40" t="n">
        <x:v>1086</x:v>
      </x:c>
      <x:c r="L21" s="40" t="n">
        <x:v>702</x:v>
      </x:c>
      <x:c r="M21" s="40" t="n">
        <x:v>712</x:v>
      </x:c>
      <x:c r="N21" s="40" t="n">
        <x:v>755</x:v>
      </x:c>
      <x:c r="O21" s="40" t="n">
        <x:v>970</x:v>
      </x:c>
      <x:c r="P21" s="40" t="n">
        <x:f>IF(COUNT(J21:O21)=0,"",SUM(J21:O21))</x:f>
        <x:v>5039</x:v>
      </x:c>
      <x:c r="Q21" s="40" t="n">
        <x:v>5669289950</x:v>
      </x:c>
      <x:c r="R21" s="40" t="n">
        <x:v>104895523</x:v>
      </x:c>
      <x:c r="S21" s="40" t="n">
        <x:v>392127036</x:v>
      </x:c>
      <x:c r="T21" s="40" t="n">
        <x:v>0</x:v>
      </x:c>
      <x:c r="U21" s="40" t="n">
        <x:v>115520</x:v>
      </x:c>
      <x:c r="V21" s="49" t="str">
        <x:v>宫阙3级</x:v>
      </x:c>
      <x:c r="W21" s="49" t="n">
        <x:v>3</x:v>
      </x:c>
      <x:c r="X21" s="52" t="n">
        <x:f>ROUND(100*(0.4*LN(1+Q21)/LN(1+MAX($Q$5:$Q$395))+0.35*R21/MAX($R$5:$R$395)+0.15*S21/MAX($S$5:$S$395)+IF(P21="",0,0.1*P21/MAX($P$5:$P$395)))/IF(P21="",0.9,1),1)</x:f>
        <x:v>84.9</x:v>
      </x:c>
      <x:c r="Y21" s="49" t="n">
        <x:f>RANK.EQ(X21,$X$5:$X$395,0)</x:f>
        <x:v>19</x:v>
      </x:c>
      <x:c r="Z21" s="34" t="str">
        <x:v>补强一盟：总功勋、实力、战力及六维综合靠前</x:v>
      </x:c>
      <x:c r="AA21" s="55"/>
    </x:row>
    <x:row r="22" ht="20" customHeight="1">
      <x:c r="A22" s="46" t="n">
        <x:v>206</x:v>
      </x:c>
      <x:c r="B22" s="27" t="str">
        <x:v>玉丨虎啸郑风</x:v>
      </x:c>
      <x:c r="C22" s="49" t="str">
        <x:v>兰亭</x:v>
      </x:c>
      <x:c r="D22" s="49" t="str">
        <x:v>兰亭</x:v>
      </x:c>
      <x:c r="E22" s="49" t="str">
        <x:v>留盟</x:v>
      </x:c>
      <x:c r="F22" s="49" t="str"/>
      <x:c r="G22" s="49" t="str">
        <x:v>兰亭</x:v>
      </x:c>
      <x:c r="H22" s="37" t="n">
        <x:v>31</x:v>
      </x:c>
      <x:c r="I22" s="37" t="n">
        <x:v>28</x:v>
      </x:c>
      <x:c r="J22" s="40" t="n">
        <x:v>1000</x:v>
      </x:c>
      <x:c r="K22" s="40" t="n">
        <x:v>1000</x:v>
      </x:c>
      <x:c r="L22" s="40" t="n">
        <x:v>900</x:v>
      </x:c>
      <x:c r="M22" s="40" t="n">
        <x:v>900</x:v>
      </x:c>
      <x:c r="N22" s="40" t="n">
        <x:v>1000</x:v>
      </x:c>
      <x:c r="O22" s="40" t="n">
        <x:v>1000</x:v>
      </x:c>
      <x:c r="P22" s="40" t="n">
        <x:f>IF(COUNT(J22:O22)=0,"",SUM(J22:O22))</x:f>
        <x:v>5800</x:v>
      </x:c>
      <x:c r="Q22" s="40" t="n">
        <x:v>7784996358</x:v>
      </x:c>
      <x:c r="R22" s="40" t="n">
        <x:v>118918626</x:v>
      </x:c>
      <x:c r="S22" s="40" t="n">
        <x:v>204925288</x:v>
      </x:c>
      <x:c r="T22" s="40" t="n">
        <x:v>0</x:v>
      </x:c>
      <x:c r="U22" s="40" t="n">
        <x:v>118560</x:v>
      </x:c>
      <x:c r="V22" s="49" t="str">
        <x:v>宫阙3级</x:v>
      </x:c>
      <x:c r="W22" s="49" t="n">
        <x:v>1</x:v>
      </x:c>
      <x:c r="X22" s="52" t="n">
        <x:f>ROUND(100*(0.4*LN(1+Q22)/LN(1+MAX($Q$5:$Q$395))+0.35*R22/MAX($R$5:$R$395)+0.15*S22/MAX($S$5:$S$395)+IF(P22="",0,0.1*P22/MAX($P$5:$P$395)))/IF(P22="",0.9,1),1)</x:f>
        <x:v>84.8</x:v>
      </x:c>
      <x:c r="Y22" s="49" t="n">
        <x:f>RANK.EQ(X22,$X$5:$X$395,0)</x:f>
        <x:v>20</x:v>
      </x:c>
      <x:c r="Z22" s="34" t="str">
        <x:v>保留兰亭战斗骨干</x:v>
      </x:c>
      <x:c r="AA22" s="55" t="str">
        <x:v>名称对应：郑风</x:v>
      </x:c>
    </x:row>
    <x:row r="23" ht="20" customHeight="1">
      <x:c r="A23" s="46" t="n">
        <x:v>28</x:v>
      </x:c>
      <x:c r="B23" s="27" t="str">
        <x:v>莫问丶</x:v>
      </x:c>
      <x:c r="C23" s="49" t="str">
        <x:v>花晨</x:v>
      </x:c>
      <x:c r="D23" s="49" t="str">
        <x:v>兰亭</x:v>
      </x:c>
      <x:c r="E23" s="49" t="str">
        <x:v>花晨→兰亭</x:v>
      </x:c>
      <x:c r="F23" s="49" t="str">
        <x:v>花晨</x:v>
      </x:c>
      <x:c r="G23" s="49" t="str">
        <x:v>兰亭</x:v>
      </x:c>
      <x:c r="H23" s="37" t="n">
        <x:v>28.8</x:v>
      </x:c>
      <x:c r="I23" s="37" t="n">
        <x:v>28.8</x:v>
      </x:c>
      <x:c r="J23" s="40" t="n">
        <x:v>863</x:v>
      </x:c>
      <x:c r="K23" s="40" t="n">
        <x:v>1160</x:v>
      </x:c>
      <x:c r="L23" s="40" t="n">
        <x:v>810</x:v>
      </x:c>
      <x:c r="M23" s="40" t="n">
        <x:v>750</x:v>
      </x:c>
      <x:c r="N23" s="40" t="n">
        <x:v>860</x:v>
      </x:c>
      <x:c r="O23" s="40" t="n">
        <x:v>970</x:v>
      </x:c>
      <x:c r="P23" s="40" t="n">
        <x:f>IF(COUNT(J23:O23)=0,"",SUM(J23:O23))</x:f>
        <x:v>5413</x:v>
      </x:c>
      <x:c r="Q23" s="40" t="n">
        <x:v>4143278434</x:v>
      </x:c>
      <x:c r="R23" s="40" t="n">
        <x:v>109219061</x:v>
      </x:c>
      <x:c r="S23" s="40" t="n">
        <x:v>332940632</x:v>
      </x:c>
      <x:c r="T23" s="40" t="n">
        <x:v>0</x:v>
      </x:c>
      <x:c r="U23" s="40" t="n">
        <x:v>108000</x:v>
      </x:c>
      <x:c r="V23" s="49" t="str">
        <x:v>宫阙3级</x:v>
      </x:c>
      <x:c r="W23" s="49" t="n">
        <x:v>1</x:v>
      </x:c>
      <x:c r="X23" s="52" t="n">
        <x:f>ROUND(100*(0.4*LN(1+Q23)/LN(1+MAX($Q$5:$Q$395))+0.35*R23/MAX($R$5:$R$395)+0.15*S23/MAX($S$5:$S$395)+IF(P23="",0,0.1*P23/MAX($P$5:$P$395)))/IF(P23="",0.9,1),1)</x:f>
        <x:v>84.3</x:v>
      </x:c>
      <x:c r="Y23" s="49" t="n">
        <x:f>RANK.EQ(X23,$X$5:$X$395,0)</x:f>
        <x:v>21</x:v>
      </x:c>
      <x:c r="Z23" s="34" t="str">
        <x:v>补强一盟：总功勋、实力、战力及六维综合靠前</x:v>
      </x:c>
      <x:c r="AA23" s="55"/>
    </x:row>
    <x:row r="24" ht="20" customHeight="1">
      <x:c r="A24" s="46" t="n">
        <x:v>103</x:v>
      </x:c>
      <x:c r="B24" s="27" t="str">
        <x:v>潘多拉独角兽</x:v>
      </x:c>
      <x:c r="C24" s="49" t="str">
        <x:v>玲珑</x:v>
      </x:c>
      <x:c r="D24" s="49" t="str">
        <x:v>兰亭</x:v>
      </x:c>
      <x:c r="E24" s="49" t="str">
        <x:v>玲珑→兰亭</x:v>
      </x:c>
      <x:c r="F24" s="49" t="str"/>
      <x:c r="G24" s="49" t="str">
        <x:v>兰亭</x:v>
      </x:c>
      <x:c r="H24" s="37" t="n">
        <x:v>27.8</x:v>
      </x:c>
      <x:c r="I24" s="37" t="n">
        <x:v>27.8</x:v>
      </x:c>
      <x:c r="J24" s="40" t="n">
        <x:v>730</x:v>
      </x:c>
      <x:c r="K24" s="40" t="n">
        <x:v>870</x:v>
      </x:c>
      <x:c r="L24" s="40" t="n">
        <x:v>708</x:v>
      </x:c>
      <x:c r="M24" s="40" t="n">
        <x:v>682</x:v>
      </x:c>
      <x:c r="N24" s="40" t="n">
        <x:v>745</x:v>
      </x:c>
      <x:c r="O24" s="40" t="n">
        <x:v>841</x:v>
      </x:c>
      <x:c r="P24" s="40" t="n">
        <x:f>IF(COUNT(J24:O24)=0,"",SUM(J24:O24))</x:f>
        <x:v>4576</x:v>
      </x:c>
      <x:c r="Q24" s="40" t="n">
        <x:v>7951949124</x:v>
      </x:c>
      <x:c r="R24" s="40" t="n">
        <x:v>113232915</x:v>
      </x:c>
      <x:c r="S24" s="40" t="n">
        <x:v>295064424</x:v>
      </x:c>
      <x:c r="T24" s="40" t="n">
        <x:v>0</x:v>
      </x:c>
      <x:c r="U24" s="40" t="n">
        <x:v>76320</x:v>
      </x:c>
      <x:c r="V24" s="49" t="str">
        <x:v>宫阙3级</x:v>
      </x:c>
      <x:c r="W24" s="49" t="n">
        <x:v>3</x:v>
      </x:c>
      <x:c r="X24" s="52" t="n">
        <x:f>ROUND(100*(0.4*LN(1+Q24)/LN(1+MAX($Q$5:$Q$395))+0.35*R24/MAX($R$5:$R$395)+0.15*S24/MAX($S$5:$S$395)+IF(P24="",0,0.1*P24/MAX($P$5:$P$395)))/IF(P24="",0.9,1),1)</x:f>
        <x:v>84.1</x:v>
      </x:c>
      <x:c r="Y24" s="49" t="n">
        <x:f>RANK.EQ(X24,$X$5:$X$395,0)</x:f>
        <x:v>23</x:v>
      </x:c>
      <x:c r="Z24" s="34" t="str">
        <x:v>补强一盟：总功勋、实力、战力及六维综合靠前</x:v>
      </x:c>
      <x:c r="AA24" s="55" t="str">
        <x:v>名称对应：独角兽</x:v>
      </x:c>
    </x:row>
    <x:row r="25" ht="20" customHeight="1">
      <x:c r="A25" s="46" t="n">
        <x:v>7</x:v>
      </x:c>
      <x:c r="B25" s="27" t="str">
        <x:v>喵喵睡不着</x:v>
      </x:c>
      <x:c r="C25" s="49" t="str">
        <x:v>花晨</x:v>
      </x:c>
      <x:c r="D25" s="49" t="str">
        <x:v>兰亭</x:v>
      </x:c>
      <x:c r="E25" s="49" t="str">
        <x:v>花晨→兰亭</x:v>
      </x:c>
      <x:c r="F25" s="49" t="str">
        <x:v>花晨</x:v>
      </x:c>
      <x:c r="G25" s="49" t="str">
        <x:v>兰亭</x:v>
      </x:c>
      <x:c r="H25" s="37" t="n">
        <x:v>30.8</x:v>
      </x:c>
      <x:c r="I25" s="37" t="n">
        <x:v>28.8</x:v>
      </x:c>
      <x:c r="J25" s="40" t="n">
        <x:v>988</x:v>
      </x:c>
      <x:c r="K25" s="40" t="n">
        <x:v>1133</x:v>
      </x:c>
      <x:c r="L25" s="40" t="n">
        <x:v>829</x:v>
      </x:c>
      <x:c r="M25" s="40" t="n">
        <x:v>776</x:v>
      </x:c>
      <x:c r="N25" s="40" t="n">
        <x:v>846</x:v>
      </x:c>
      <x:c r="O25" s="40" t="n">
        <x:v>983</x:v>
      </x:c>
      <x:c r="P25" s="40" t="n">
        <x:f>IF(COUNT(J25:O25)=0,"",SUM(J25:O25))</x:f>
        <x:v>5555</x:v>
      </x:c>
      <x:c r="Q25" s="40" t="n">
        <x:v>9117978892</x:v>
      </x:c>
      <x:c r="R25" s="40" t="n">
        <x:v>104108672</x:v>
      </x:c>
      <x:c r="S25" s="40" t="n">
        <x:v>294855881</x:v>
      </x:c>
      <x:c r="T25" s="40" t="n">
        <x:v>0</x:v>
      </x:c>
      <x:c r="U25" s="40" t="n">
        <x:v>196560</x:v>
      </x:c>
      <x:c r="V25" s="49" t="str">
        <x:v>宫阙3级</x:v>
      </x:c>
      <x:c r="W25" s="49" t="n">
        <x:v>1</x:v>
      </x:c>
      <x:c r="X25" s="52" t="n">
        <x:f>ROUND(100*(0.4*LN(1+Q25)/LN(1+MAX($Q$5:$Q$395))+0.35*R25/MAX($R$5:$R$395)+0.15*S25/MAX($S$5:$S$395)+IF(P25="",0,0.1*P25/MAX($P$5:$P$395)))/IF(P25="",0.9,1),1)</x:f>
        <x:v>83.5</x:v>
      </x:c>
      <x:c r="Y25" s="49" t="n">
        <x:f>RANK.EQ(X25,$X$5:$X$395,0)</x:f>
        <x:v>24</x:v>
      </x:c>
      <x:c r="Z25" s="34" t="str">
        <x:v>补强一盟：总功勋、实力、战力及六维综合靠前</x:v>
      </x:c>
      <x:c r="AA25" s="55"/>
    </x:row>
    <x:row r="26" ht="20" customHeight="1">
      <x:c r="A26" s="46" t="n">
        <x:v>102</x:v>
      </x:c>
      <x:c r="B26" s="27" t="str">
        <x:v>于将军</x:v>
      </x:c>
      <x:c r="C26" s="49" t="str">
        <x:v>玲珑</x:v>
      </x:c>
      <x:c r="D26" s="49" t="str">
        <x:v>兰亭</x:v>
      </x:c>
      <x:c r="E26" s="49" t="str">
        <x:v>玲珑→兰亭</x:v>
      </x:c>
      <x:c r="F26" s="49" t="str">
        <x:v>兰亭</x:v>
      </x:c>
      <x:c r="G26" s="49" t="str">
        <x:v>兰亭</x:v>
      </x:c>
      <x:c r="H26" s="37" t="n">
        <x:v>28.8</x:v>
      </x:c>
      <x:c r="I26" s="37" t="n">
        <x:v>28.8</x:v>
      </x:c>
      <x:c r="J26" s="40" t="n">
        <x:v>881</x:v>
      </x:c>
      <x:c r="K26" s="40" t="n">
        <x:v>1033</x:v>
      </x:c>
      <x:c r="L26" s="40" t="n">
        <x:v>742</x:v>
      </x:c>
      <x:c r="M26" s="40" t="n">
        <x:v>684</x:v>
      </x:c>
      <x:c r="N26" s="40" t="n">
        <x:v>778</x:v>
      </x:c>
      <x:c r="O26" s="40" t="n">
        <x:v>910</x:v>
      </x:c>
      <x:c r="P26" s="40" t="n">
        <x:f>IF(COUNT(J26:O26)=0,"",SUM(J26:O26))</x:f>
        <x:v>5028</x:v>
      </x:c>
      <x:c r="Q26" s="40" t="n">
        <x:v>8369975628</x:v>
      </x:c>
      <x:c r="R26" s="40" t="n">
        <x:v>101215175</x:v>
      </x:c>
      <x:c r="S26" s="40" t="n">
        <x:v>342598022</x:v>
      </x:c>
      <x:c r="T26" s="40" t="n">
        <x:v>0</x:v>
      </x:c>
      <x:c r="U26" s="40" t="n">
        <x:v>114080</x:v>
      </x:c>
      <x:c r="V26" s="49" t="str">
        <x:v>宫阙3级</x:v>
      </x:c>
      <x:c r="W26" s="49" t="n">
        <x:v>3</x:v>
      </x:c>
      <x:c r="X26" s="52" t="n">
        <x:f>ROUND(100*(0.4*LN(1+Q26)/LN(1+MAX($Q$5:$Q$395))+0.35*R26/MAX($R$5:$R$395)+0.15*S26/MAX($S$5:$S$395)+IF(P26="",0,0.1*P26/MAX($P$5:$P$395)))/IF(P26="",0.9,1),1)</x:f>
        <x:v>83.1</x:v>
      </x:c>
      <x:c r="Y26" s="49" t="n">
        <x:f>RANK.EQ(X26,$X$5:$X$395,0)</x:f>
        <x:v>25</x:v>
      </x:c>
      <x:c r="Z26" s="34" t="str">
        <x:v>补强一盟：总功勋、实力、战力及六维综合靠前</x:v>
      </x:c>
      <x:c r="AA26" s="55"/>
    </x:row>
    <x:row r="27" ht="20" customHeight="1">
      <x:c r="A27" s="46" t="n">
        <x:v>240</x:v>
      </x:c>
      <x:c r="B27" s="27" t="str">
        <x:v>村口集团晚风</x:v>
      </x:c>
      <x:c r="C27" s="49" t="str">
        <x:v>兰亭</x:v>
      </x:c>
      <x:c r="D27" s="49" t="str">
        <x:v>兰亭</x:v>
      </x:c>
      <x:c r="E27" s="49" t="str">
        <x:v>留盟</x:v>
      </x:c>
      <x:c r="F27" s="49" t="str"/>
      <x:c r="G27" s="49" t="str">
        <x:v>兰亭</x:v>
      </x:c>
      <x:c r="H27" s="37" t="n">
        <x:v>28.8</x:v>
      </x:c>
      <x:c r="I27" s="37" t="n">
        <x:v>28.8</x:v>
      </x:c>
      <x:c r="J27" s="40" t="n">
        <x:v>855</x:v>
      </x:c>
      <x:c r="K27" s="40" t="n">
        <x:v>1130</x:v>
      </x:c>
      <x:c r="L27" s="40" t="n">
        <x:v>807</x:v>
      </x:c>
      <x:c r="M27" s="40" t="n">
        <x:v>873</x:v>
      </x:c>
      <x:c r="N27" s="40" t="n">
        <x:v>877</x:v>
      </x:c>
      <x:c r="O27" s="40" t="n">
        <x:v>977</x:v>
      </x:c>
      <x:c r="P27" s="40" t="n">
        <x:f>IF(COUNT(J27:O27)=0,"",SUM(J27:O27))</x:f>
        <x:v>5519</x:v>
      </x:c>
      <x:c r="Q27" s="40" t="n">
        <x:v>4083397672</x:v>
      </x:c>
      <x:c r="R27" s="40" t="n">
        <x:v>98834927</x:v>
      </x:c>
      <x:c r="S27" s="40" t="n">
        <x:v>369697106</x:v>
      </x:c>
      <x:c r="T27" s="40" t="n">
        <x:v>0</x:v>
      </x:c>
      <x:c r="U27" s="40" t="n">
        <x:v>39840</x:v>
      </x:c>
      <x:c r="V27" s="49" t="str">
        <x:v>宫阙3级</x:v>
      </x:c>
      <x:c r="W27" s="49" t="n">
        <x:v>1</x:v>
      </x:c>
      <x:c r="X27" s="52" t="n">
        <x:f>ROUND(100*(0.4*LN(1+Q27)/LN(1+MAX($Q$5:$Q$395))+0.35*R27/MAX($R$5:$R$395)+0.15*S27/MAX($S$5:$S$395)+IF(P27="",0,0.1*P27/MAX($P$5:$P$395)))/IF(P27="",0.9,1),1)</x:f>
        <x:v>82.8</x:v>
      </x:c>
      <x:c r="Y27" s="49" t="n">
        <x:f>RANK.EQ(X27,$X$5:$X$395,0)</x:f>
        <x:v>26</x:v>
      </x:c>
      <x:c r="Z27" s="34" t="str">
        <x:v>保留兰亭战斗骨干</x:v>
      </x:c>
      <x:c r="AA27" s="55"/>
    </x:row>
    <x:row r="28" ht="20" customHeight="1">
      <x:c r="A28" s="46" t="n">
        <x:v>109</x:v>
      </x:c>
      <x:c r="B28" s="27" t="str">
        <x:v>小老弟</x:v>
      </x:c>
      <x:c r="C28" s="49" t="str">
        <x:v>玲珑</x:v>
      </x:c>
      <x:c r="D28" s="49" t="str">
        <x:v>兰亭</x:v>
      </x:c>
      <x:c r="E28" s="49" t="str">
        <x:v>玲珑→兰亭</x:v>
      </x:c>
      <x:c r="F28" s="49" t="str"/>
      <x:c r="G28" s="49" t="str">
        <x:v>兰亭</x:v>
      </x:c>
      <x:c r="H28" s="37" t="n">
        <x:v>28.88</x:v>
      </x:c>
      <x:c r="I28" s="37" t="n">
        <x:v>19.5</x:v>
      </x:c>
      <x:c r="J28" s="40" t="n">
        <x:v>770</x:v>
      </x:c>
      <x:c r="K28" s="40" t="n">
        <x:v>993</x:v>
      </x:c>
      <x:c r="L28" s="40" t="n">
        <x:v>672</x:v>
      </x:c>
      <x:c r="M28" s="40" t="n">
        <x:v>629</x:v>
      </x:c>
      <x:c r="N28" s="40" t="n">
        <x:v>737</x:v>
      </x:c>
      <x:c r="O28" s="40" t="n">
        <x:v>844</x:v>
      </x:c>
      <x:c r="P28" s="40" t="n">
        <x:f>IF(COUNT(J28:O28)=0,"",SUM(J28:O28))</x:f>
        <x:v>4645</x:v>
      </x:c>
      <x:c r="Q28" s="40" t="n">
        <x:v>5935394034</x:v>
      </x:c>
      <x:c r="R28" s="40" t="n">
        <x:v>100893712</x:v>
      </x:c>
      <x:c r="S28" s="40" t="n">
        <x:v>372031563</x:v>
      </x:c>
      <x:c r="T28" s="40" t="n">
        <x:v>0</x:v>
      </x:c>
      <x:c r="U28" s="40" t="n">
        <x:v>126320</x:v>
      </x:c>
      <x:c r="V28" s="49" t="str">
        <x:v>宫阙3级</x:v>
      </x:c>
      <x:c r="W28" s="49" t="n">
        <x:v>3</x:v>
      </x:c>
      <x:c r="X28" s="52" t="n">
        <x:f>ROUND(100*(0.4*LN(1+Q28)/LN(1+MAX($Q$5:$Q$395))+0.35*R28/MAX($R$5:$R$395)+0.15*S28/MAX($S$5:$S$395)+IF(P28="",0,0.1*P28/MAX($P$5:$P$395)))/IF(P28="",0.9,1),1)</x:f>
        <x:v>82.7</x:v>
      </x:c>
      <x:c r="Y28" s="49" t="n">
        <x:f>RANK.EQ(X28,$X$5:$X$395,0)</x:f>
        <x:v>27</x:v>
      </x:c>
      <x:c r="Z28" s="34" t="str">
        <x:v>补强一盟：总功勋、实力、战力及六维综合靠前</x:v>
      </x:c>
      <x:c r="AA28" s="55"/>
    </x:row>
    <x:row r="29" ht="20" customHeight="1">
      <x:c r="A29" s="46" t="n">
        <x:v>201</x:v>
      </x:c>
      <x:c r="B29" s="27" t="str">
        <x:v>洛雪儿</x:v>
      </x:c>
      <x:c r="C29" s="49" t="str">
        <x:v>兰亭</x:v>
      </x:c>
      <x:c r="D29" s="49" t="str">
        <x:v>兰亭</x:v>
      </x:c>
      <x:c r="E29" s="49" t="str">
        <x:v>留盟</x:v>
      </x:c>
      <x:c r="F29" s="49" t="str"/>
      <x:c r="G29" s="49" t="str">
        <x:v>兰亭</x:v>
      </x:c>
      <x:c r="H29" s="37" t="n">
        <x:v>28.8</x:v>
      </x:c>
      <x:c r="I29" s="37" t="n">
        <x:v>28.8</x:v>
      </x:c>
      <x:c r="J29" s="40" t="n">
        <x:v>964</x:v>
      </x:c>
      <x:c r="K29" s="40" t="n">
        <x:v>1047</x:v>
      </x:c>
      <x:c r="L29" s="40" t="n">
        <x:v>869</x:v>
      </x:c>
      <x:c r="M29" s="40" t="n">
        <x:v>1015</x:v>
      </x:c>
      <x:c r="N29" s="40" t="n">
        <x:v>886</x:v>
      </x:c>
      <x:c r="O29" s="40" t="n">
        <x:v>935</x:v>
      </x:c>
      <x:c r="P29" s="40" t="n">
        <x:f>IF(COUNT(J29:O29)=0,"",SUM(J29:O29))</x:f>
        <x:v>5716</x:v>
      </x:c>
      <x:c r="Q29" s="40" t="n">
        <x:v>11144801688</x:v>
      </x:c>
      <x:c r="R29" s="40" t="n">
        <x:v>99068687</x:v>
      </x:c>
      <x:c r="S29" s="40" t="n">
        <x:v>292399284</x:v>
      </x:c>
      <x:c r="T29" s="40" t="n">
        <x:v>0</x:v>
      </x:c>
      <x:c r="U29" s="40" t="n">
        <x:v>97200</x:v>
      </x:c>
      <x:c r="V29" s="49" t="str">
        <x:v>宫阙3级</x:v>
      </x:c>
      <x:c r="W29" s="49" t="n">
        <x:v>5</x:v>
      </x:c>
      <x:c r="X29" s="52" t="n">
        <x:f>ROUND(100*(0.4*LN(1+Q29)/LN(1+MAX($Q$5:$Q$395))+0.35*R29/MAX($R$5:$R$395)+0.15*S29/MAX($S$5:$S$395)+IF(P29="",0,0.1*P29/MAX($P$5:$P$395)))/IF(P29="",0.9,1),1)</x:f>
        <x:v>82.7</x:v>
      </x:c>
      <x:c r="Y29" s="49" t="n">
        <x:f>RANK.EQ(X29,$X$5:$X$395,0)</x:f>
        <x:v>27</x:v>
      </x:c>
      <x:c r="Z29" s="34" t="str">
        <x:v>保留兰亭战斗骨干</x:v>
      </x:c>
      <x:c r="AA29" s="55"/>
    </x:row>
    <x:row r="30" ht="20" customHeight="1">
      <x:c r="A30" s="46" t="n">
        <x:v>123</x:v>
      </x:c>
      <x:c r="B30" s="27" t="str">
        <x:v>很安心</x:v>
      </x:c>
      <x:c r="C30" s="49" t="str">
        <x:v>玲珑</x:v>
      </x:c>
      <x:c r="D30" s="49" t="str">
        <x:v>兰亭</x:v>
      </x:c>
      <x:c r="E30" s="49" t="str">
        <x:v>玲珑→兰亭</x:v>
      </x:c>
      <x:c r="F30" s="49" t="str">
        <x:v>兰亭</x:v>
      </x:c>
      <x:c r="G30" s="49" t="str">
        <x:v>兰亭</x:v>
      </x:c>
      <x:c r="H30" s="37" t="n">
        <x:v>28.8</x:v>
      </x:c>
      <x:c r="I30" s="37" t="n">
        <x:v>26.8</x:v>
      </x:c>
      <x:c r="J30" s="40" t="n">
        <x:v>780</x:v>
      </x:c>
      <x:c r="K30" s="40" t="n">
        <x:v>1035</x:v>
      </x:c>
      <x:c r="L30" s="40" t="n">
        <x:v>735</x:v>
      </x:c>
      <x:c r="M30" s="40" t="n">
        <x:v>700</x:v>
      </x:c>
      <x:c r="N30" s="40" t="n">
        <x:v>845</x:v>
      </x:c>
      <x:c r="O30" s="40" t="n">
        <x:v>930</x:v>
      </x:c>
      <x:c r="P30" s="40" t="n">
        <x:f>IF(COUNT(J30:O30)=0,"",SUM(J30:O30))</x:f>
        <x:v>5025</x:v>
      </x:c>
      <x:c r="Q30" s="40" t="n">
        <x:v>4290017388</x:v>
      </x:c>
      <x:c r="R30" s="40" t="n">
        <x:v>100149729</x:v>
      </x:c>
      <x:c r="S30" s="40" t="n">
        <x:v>365318817</x:v>
      </x:c>
      <x:c r="T30" s="40" t="n">
        <x:v>0</x:v>
      </x:c>
      <x:c r="U30" s="40" t="n">
        <x:v>98640</x:v>
      </x:c>
      <x:c r="V30" s="49" t="str">
        <x:v>宫阙3级</x:v>
      </x:c>
      <x:c r="W30" s="49" t="n">
        <x:v>3</x:v>
      </x:c>
      <x:c r="X30" s="52" t="n">
        <x:f>ROUND(100*(0.4*LN(1+Q30)/LN(1+MAX($Q$5:$Q$395))+0.35*R30/MAX($R$5:$R$395)+0.15*S30/MAX($S$5:$S$395)+IF(P30="",0,0.1*P30/MAX($P$5:$P$395)))/IF(P30="",0.9,1),1)</x:f>
        <x:v>82.4</x:v>
      </x:c>
      <x:c r="Y30" s="49" t="n">
        <x:f>RANK.EQ(X30,$X$5:$X$395,0)</x:f>
        <x:v>30</x:v>
      </x:c>
      <x:c r="Z30" s="34" t="str">
        <x:v>补强一盟：总功勋、实力、战力及六维综合靠前</x:v>
      </x:c>
      <x:c r="AA30" s="55"/>
    </x:row>
    <x:row r="31" ht="20" customHeight="1">
      <x:c r="A31" s="46" t="n">
        <x:v>208</x:v>
      </x:c>
      <x:c r="B31" s="27" t="str">
        <x:v>月亮的人</x:v>
      </x:c>
      <x:c r="C31" s="49" t="str">
        <x:v>兰亭</x:v>
      </x:c>
      <x:c r="D31" s="49" t="str">
        <x:v>兰亭</x:v>
      </x:c>
      <x:c r="E31" s="49" t="str">
        <x:v>留盟</x:v>
      </x:c>
      <x:c r="F31" s="49" t="str"/>
      <x:c r="G31" s="49" t="str">
        <x:v>兰亭</x:v>
      </x:c>
      <x:c r="H31" s="37" t="n">
        <x:v>28.8</x:v>
      </x:c>
      <x:c r="I31" s="37" t="n">
        <x:v>28.8</x:v>
      </x:c>
      <x:c r="J31" s="40" t="n">
        <x:v>794</x:v>
      </x:c>
      <x:c r="K31" s="40" t="n">
        <x:v>1032</x:v>
      </x:c>
      <x:c r="L31" s="40" t="n">
        <x:v>722</x:v>
      </x:c>
      <x:c r="M31" s="40" t="n">
        <x:v>720</x:v>
      </x:c>
      <x:c r="N31" s="40" t="n">
        <x:v>721</x:v>
      </x:c>
      <x:c r="O31" s="40" t="n">
        <x:v>847</x:v>
      </x:c>
      <x:c r="P31" s="40" t="n">
        <x:f>IF(COUNT(J31:O31)=0,"",SUM(J31:O31))</x:f>
        <x:v>4836</x:v>
      </x:c>
      <x:c r="Q31" s="40" t="n">
        <x:v>6738702683</x:v>
      </x:c>
      <x:c r="R31" s="40" t="n">
        <x:v>102500281</x:v>
      </x:c>
      <x:c r="S31" s="40" t="n">
        <x:v>321448723</x:v>
      </x:c>
      <x:c r="T31" s="40" t="n">
        <x:v>0</x:v>
      </x:c>
      <x:c r="U31" s="40" t="n">
        <x:v>0</x:v>
      </x:c>
      <x:c r="V31" s="49" t="str">
        <x:v>宫阙3级</x:v>
      </x:c>
      <x:c r="W31" s="49" t="n">
        <x:v>1</x:v>
      </x:c>
      <x:c r="X31" s="52" t="n">
        <x:f>ROUND(100*(0.4*LN(1+Q31)/LN(1+MAX($Q$5:$Q$395))+0.35*R31/MAX($R$5:$R$395)+0.15*S31/MAX($S$5:$S$395)+IF(P31="",0,0.1*P31/MAX($P$5:$P$395)))/IF(P31="",0.9,1),1)</x:f>
        <x:v>82.2</x:v>
      </x:c>
      <x:c r="Y31" s="49" t="n">
        <x:f>RANK.EQ(X31,$X$5:$X$395,0)</x:f>
        <x:v>32</x:v>
      </x:c>
      <x:c r="Z31" s="34" t="str">
        <x:v>保留兰亭战斗骨干</x:v>
      </x:c>
      <x:c r="AA31" s="55"/>
    </x:row>
    <x:row r="32" ht="20" customHeight="1">
      <x:c r="A32" s="46" t="n">
        <x:v>215</x:v>
      </x:c>
      <x:c r="B32" s="27" t="str">
        <x:v>展彦笑</x:v>
      </x:c>
      <x:c r="C32" s="49" t="str">
        <x:v>兰亭</x:v>
      </x:c>
      <x:c r="D32" s="49" t="str">
        <x:v>兰亭</x:v>
      </x:c>
      <x:c r="E32" s="49" t="str">
        <x:v>留盟</x:v>
      </x:c>
      <x:c r="F32" s="49" t="str">
        <x:v>花晨</x:v>
      </x:c>
      <x:c r="G32" s="49"/>
      <x:c r="H32" s="37"/>
      <x:c r="I32" s="37"/>
      <x:c r="J32" s="40"/>
      <x:c r="K32" s="40"/>
      <x:c r="L32" s="40"/>
      <x:c r="M32" s="40"/>
      <x:c r="N32" s="40"/>
      <x:c r="O32" s="40"/>
      <x:c r="P32" s="40" t="str">
        <x:f>IF(COUNT(J32:O32)=0,"",SUM(J32:O32))</x:f>
      </x:c>
      <x:c r="Q32" s="40" t="n">
        <x:v>5695991196</x:v>
      </x:c>
      <x:c r="R32" s="40" t="n">
        <x:v>99376391</x:v>
      </x:c>
      <x:c r="S32" s="40" t="n">
        <x:v>322855378</x:v>
      </x:c>
      <x:c r="T32" s="40" t="n">
        <x:v>0</x:v>
      </x:c>
      <x:c r="U32" s="40" t="n">
        <x:v>246480</x:v>
      </x:c>
      <x:c r="V32" s="49" t="str">
        <x:v>宫阙3级</x:v>
      </x:c>
      <x:c r="W32" s="49" t="n">
        <x:v>3</x:v>
      </x:c>
      <x:c r="X32" s="52" t="n">
        <x:f>ROUND(100*(0.4*LN(1+Q32)/LN(1+MAX($Q$5:$Q$395))+0.35*R32/MAX($R$5:$R$395)+0.15*S32/MAX($S$5:$S$395)+IF(P32="",0,0.1*P32/MAX($P$5:$P$395)))/IF(P32="",0.9,1),1)</x:f>
        <x:v>81.7</x:v>
      </x:c>
      <x:c r="Y32" s="49" t="n">
        <x:f>RANK.EQ(X32,$X$5:$X$395,0)</x:f>
        <x:v>34</x:v>
      </x:c>
      <x:c r="Z32" s="34" t="str">
        <x:v>保留兰亭战斗骨干</x:v>
      </x:c>
      <x:c r="AA32" s="55" t="str">
        <x:v>六维未匹配</x:v>
      </x:c>
    </x:row>
    <x:row r="33" ht="20" customHeight="1">
      <x:c r="A33" s="46" t="n">
        <x:v>13</x:v>
      </x:c>
      <x:c r="B33" s="27" t="str">
        <x:v>不是泥</x:v>
      </x:c>
      <x:c r="C33" s="49" t="str">
        <x:v>花晨</x:v>
      </x:c>
      <x:c r="D33" s="49" t="str">
        <x:v>兰亭</x:v>
      </x:c>
      <x:c r="E33" s="49" t="str">
        <x:v>花晨→兰亭</x:v>
      </x:c>
      <x:c r="F33" s="49" t="str">
        <x:v>花晨</x:v>
      </x:c>
      <x:c r="G33" s="49" t="str">
        <x:v>兰亭</x:v>
      </x:c>
      <x:c r="H33" s="37" t="n">
        <x:v>28.8</x:v>
      </x:c>
      <x:c r="I33" s="37" t="n">
        <x:v>28.8</x:v>
      </x:c>
      <x:c r="J33" s="40" t="n">
        <x:v>902</x:v>
      </x:c>
      <x:c r="K33" s="40" t="n">
        <x:v>1040</x:v>
      </x:c>
      <x:c r="L33" s="40" t="n">
        <x:v>717</x:v>
      </x:c>
      <x:c r="M33" s="40" t="n">
        <x:v>683</x:v>
      </x:c>
      <x:c r="N33" s="40" t="n">
        <x:v>767</x:v>
      </x:c>
      <x:c r="O33" s="40" t="n">
        <x:v>930</x:v>
      </x:c>
      <x:c r="P33" s="40" t="n">
        <x:f>IF(COUNT(J33:O33)=0,"",SUM(J33:O33))</x:f>
        <x:v>5039</x:v>
      </x:c>
      <x:c r="Q33" s="40" t="n">
        <x:v>7526451790</x:v>
      </x:c>
      <x:c r="R33" s="40" t="n">
        <x:v>96362607</x:v>
      </x:c>
      <x:c r="S33" s="40" t="n">
        <x:v>337495986</x:v>
      </x:c>
      <x:c r="T33" s="40" t="n">
        <x:v>0</x:v>
      </x:c>
      <x:c r="U33" s="40" t="n">
        <x:v>81360</x:v>
      </x:c>
      <x:c r="V33" s="49" t="str">
        <x:v>宫阙3级</x:v>
      </x:c>
      <x:c r="W33" s="49" t="n">
        <x:v>1</x:v>
      </x:c>
      <x:c r="X33" s="52" t="n">
        <x:f>ROUND(100*(0.4*LN(1+Q33)/LN(1+MAX($Q$5:$Q$395))+0.35*R33/MAX($R$5:$R$395)+0.15*S33/MAX($S$5:$S$395)+IF(P33="",0,0.1*P33/MAX($P$5:$P$395)))/IF(P33="",0.9,1),1)</x:f>
        <x:v>81.6</x:v>
      </x:c>
      <x:c r="Y33" s="49" t="n">
        <x:f>RANK.EQ(X33,$X$5:$X$395,0)</x:f>
        <x:v>35</x:v>
      </x:c>
      <x:c r="Z33" s="34" t="str">
        <x:v>补强一盟：总功勋、实力、战力及六维综合靠前</x:v>
      </x:c>
      <x:c r="AA33" s="55"/>
    </x:row>
    <x:row r="34" ht="20" customHeight="1">
      <x:c r="A34" s="46" t="n">
        <x:v>144</x:v>
      </x:c>
      <x:c r="B34" s="27" t="str">
        <x:v>当当当</x:v>
      </x:c>
      <x:c r="C34" s="49" t="str">
        <x:v>玲珑</x:v>
      </x:c>
      <x:c r="D34" s="49" t="str">
        <x:v>兰亭</x:v>
      </x:c>
      <x:c r="E34" s="49" t="str">
        <x:v>玲珑→兰亭</x:v>
      </x:c>
      <x:c r="F34" s="49" t="str">
        <x:v>兰亭</x:v>
      </x:c>
      <x:c r="G34" s="49" t="str">
        <x:v>兰亭</x:v>
      </x:c>
      <x:c r="H34" s="37" t="n">
        <x:v>28.8</x:v>
      </x:c>
      <x:c r="I34" s="37" t="n">
        <x:v>26.7</x:v>
      </x:c>
      <x:c r="J34" s="40" t="n">
        <x:v>770</x:v>
      </x:c>
      <x:c r="K34" s="40" t="n">
        <x:v>940</x:v>
      </x:c>
      <x:c r="L34" s="40" t="n">
        <x:v>643</x:v>
      </x:c>
      <x:c r="M34" s="40" t="n">
        <x:v>669</x:v>
      </x:c>
      <x:c r="N34" s="40" t="n">
        <x:v>670</x:v>
      </x:c>
      <x:c r="O34" s="40" t="n">
        <x:v>682</x:v>
      </x:c>
      <x:c r="P34" s="40" t="n">
        <x:f>IF(COUNT(J34:O34)=0,"",SUM(J34:O34))</x:f>
        <x:v>4374</x:v>
      </x:c>
      <x:c r="Q34" s="40" t="n">
        <x:v>2022142936</x:v>
      </x:c>
      <x:c r="R34" s="40" t="n">
        <x:v>98990313</x:v>
      </x:c>
      <x:c r="S34" s="40" t="n">
        <x:v>389110363</x:v>
      </x:c>
      <x:c r="T34" s="40" t="n">
        <x:v>0</x:v>
      </x:c>
      <x:c r="U34" s="40" t="n">
        <x:v>111600</x:v>
      </x:c>
      <x:c r="V34" s="49" t="str">
        <x:v>宫阙3级</x:v>
      </x:c>
      <x:c r="W34" s="49" t="n">
        <x:v>3</x:v>
      </x:c>
      <x:c r="X34" s="52" t="n">
        <x:f>ROUND(100*(0.4*LN(1+Q34)/LN(1+MAX($Q$5:$Q$395))+0.35*R34/MAX($R$5:$R$395)+0.15*S34/MAX($S$5:$S$395)+IF(P34="",0,0.1*P34/MAX($P$5:$P$395)))/IF(P34="",0.9,1),1)</x:f>
        <x:v>80.5</x:v>
      </x:c>
      <x:c r="Y34" s="49" t="n">
        <x:f>RANK.EQ(X34,$X$5:$X$395,0)</x:f>
        <x:v>37</x:v>
      </x:c>
      <x:c r="Z34" s="34" t="str">
        <x:v>补强一盟：总功勋、实力、战力及六维综合靠前</x:v>
      </x:c>
      <x:c r="AA34" s="55"/>
    </x:row>
    <x:row r="35" ht="20" customHeight="1">
      <x:c r="A35" s="46" t="n">
        <x:v>205</x:v>
      </x:c>
      <x:c r="B35" s="27" t="str">
        <x:v>千时焕</x:v>
      </x:c>
      <x:c r="C35" s="49" t="str">
        <x:v>兰亭</x:v>
      </x:c>
      <x:c r="D35" s="49" t="str">
        <x:v>兰亭</x:v>
      </x:c>
      <x:c r="E35" s="49" t="str">
        <x:v>留盟</x:v>
      </x:c>
      <x:c r="F35" s="49" t="str"/>
      <x:c r="G35" s="49" t="str">
        <x:v>兰亭</x:v>
      </x:c>
      <x:c r="H35" s="37" t="n">
        <x:v>31.8</x:v>
      </x:c>
      <x:c r="I35" s="37" t="n">
        <x:v>24.6</x:v>
      </x:c>
      <x:c r="J35" s="40" t="n">
        <x:v>972</x:v>
      </x:c>
      <x:c r="K35" s="40" t="n">
        <x:v>1025</x:v>
      </x:c>
      <x:c r="L35" s="40" t="n">
        <x:v>738</x:v>
      </x:c>
      <x:c r="M35" s="40" t="n">
        <x:v>648</x:v>
      </x:c>
      <x:c r="N35" s="40" t="n">
        <x:v>862</x:v>
      </x:c>
      <x:c r="O35" s="40" t="n">
        <x:v>997</x:v>
      </x:c>
      <x:c r="P35" s="40" t="n">
        <x:f>IF(COUNT(J35:O35)=0,"",SUM(J35:O35))</x:f>
        <x:v>5242</x:v>
      </x:c>
      <x:c r="Q35" s="40" t="n">
        <x:v>9408600420</x:v>
      </x:c>
      <x:c r="R35" s="40" t="n">
        <x:v>99565207</x:v>
      </x:c>
      <x:c r="S35" s="40" t="n">
        <x:v>231484807</x:v>
      </x:c>
      <x:c r="T35" s="40" t="n">
        <x:v>0</x:v>
      </x:c>
      <x:c r="U35" s="40" t="n">
        <x:v>165120</x:v>
      </x:c>
      <x:c r="V35" s="49" t="str">
        <x:v>宫阙3级</x:v>
      </x:c>
      <x:c r="W35" s="49" t="n">
        <x:v>4</x:v>
      </x:c>
      <x:c r="X35" s="52" t="n">
        <x:f>ROUND(100*(0.4*LN(1+Q35)/LN(1+MAX($Q$5:$Q$395))+0.35*R35/MAX($R$5:$R$395)+0.15*S35/MAX($S$5:$S$395)+IF(P35="",0,0.1*P35/MAX($P$5:$P$395)))/IF(P35="",0.9,1),1)</x:f>
        <x:v>80</x:v>
      </x:c>
      <x:c r="Y35" s="49" t="n">
        <x:f>RANK.EQ(X35,$X$5:$X$395,0)</x:f>
        <x:v>38</x:v>
      </x:c>
      <x:c r="Z35" s="34" t="str">
        <x:v>保留兰亭战斗骨干</x:v>
      </x:c>
      <x:c r="AA35" s="55"/>
    </x:row>
    <x:row r="36" ht="20" customHeight="1">
      <x:c r="A36" s="46" t="n">
        <x:v>300</x:v>
      </x:c>
      <x:c r="B36" s="27" t="str">
        <x:v>爱哭鬼鬼</x:v>
      </x:c>
      <x:c r="C36" s="49" t="str">
        <x:v>燕云</x:v>
      </x:c>
      <x:c r="D36" s="49" t="str">
        <x:v>兰亭</x:v>
      </x:c>
      <x:c r="E36" s="49" t="str">
        <x:v>燕云→兰亭</x:v>
      </x:c>
      <x:c r="F36" s="49" t="str">
        <x:v>兰亭</x:v>
      </x:c>
      <x:c r="G36" s="49" t="str">
        <x:v>兰亭</x:v>
      </x:c>
      <x:c r="H36" s="37" t="n">
        <x:v>25.8</x:v>
      </x:c>
      <x:c r="I36" s="37" t="n">
        <x:v>25.8</x:v>
      </x:c>
      <x:c r="J36" s="40" t="n">
        <x:v>830</x:v>
      </x:c>
      <x:c r="K36" s="40" t="n">
        <x:v>1000</x:v>
      </x:c>
      <x:c r="L36" s="40" t="n">
        <x:v>603</x:v>
      </x:c>
      <x:c r="M36" s="40" t="n">
        <x:v>557</x:v>
      </x:c>
      <x:c r="N36" s="40" t="n">
        <x:v>691</x:v>
      </x:c>
      <x:c r="O36" s="40" t="n">
        <x:v>722</x:v>
      </x:c>
      <x:c r="P36" s="40" t="n">
        <x:f>IF(COUNT(J36:O36)=0,"",SUM(J36:O36))</x:f>
        <x:v>4403</x:v>
      </x:c>
      <x:c r="Q36" s="40" t="n">
        <x:v>9076788698</x:v>
      </x:c>
      <x:c r="R36" s="40" t="n">
        <x:v>89149671</x:v>
      </x:c>
      <x:c r="S36" s="40" t="n">
        <x:v>366693391</x:v>
      </x:c>
      <x:c r="T36" s="40" t="n">
        <x:v>0</x:v>
      </x:c>
      <x:c r="U36" s="40" t="n">
        <x:v>44160</x:v>
      </x:c>
      <x:c r="V36" s="49" t="str">
        <x:v>宫阙3级</x:v>
      </x:c>
      <x:c r="W36" s="49" t="n">
        <x:v>3</x:v>
      </x:c>
      <x:c r="X36" s="52" t="n">
        <x:f>ROUND(100*(0.4*LN(1+Q36)/LN(1+MAX($Q$5:$Q$395))+0.35*R36/MAX($R$5:$R$395)+0.15*S36/MAX($S$5:$S$395)+IF(P36="",0,0.1*P36/MAX($P$5:$P$395)))/IF(P36="",0.9,1),1)</x:f>
        <x:v>79.9</x:v>
      </x:c>
      <x:c r="Y36" s="49" t="n">
        <x:f>RANK.EQ(X36,$X$5:$X$395,0)</x:f>
        <x:v>39</x:v>
      </x:c>
      <x:c r="Z36" s="34" t="str">
        <x:v>补强一盟：总功勋、实力、战力及六维综合靠前</x:v>
      </x:c>
      <x:c r="AA36" s="55"/>
    </x:row>
    <x:row r="37" ht="20" customHeight="1">
      <x:c r="A37" s="46" t="n">
        <x:v>305</x:v>
      </x:c>
      <x:c r="B37" s="27" t="str">
        <x:v>哥哥请发财</x:v>
      </x:c>
      <x:c r="C37" s="49" t="str">
        <x:v>燕云</x:v>
      </x:c>
      <x:c r="D37" s="49" t="str">
        <x:v>兰亭</x:v>
      </x:c>
      <x:c r="E37" s="49" t="str">
        <x:v>燕云→兰亭</x:v>
      </x:c>
      <x:c r="F37" s="49" t="str">
        <x:v>兰亭</x:v>
      </x:c>
      <x:c r="G37" s="49" t="str">
        <x:v>兰亭</x:v>
      </x:c>
      <x:c r="H37" s="37" t="n">
        <x:v>28.8</x:v>
      </x:c>
      <x:c r="I37" s="37" t="n">
        <x:v>28.8</x:v>
      </x:c>
      <x:c r="J37" s="40" t="n">
        <x:v>854</x:v>
      </x:c>
      <x:c r="K37" s="40" t="n">
        <x:v>970</x:v>
      </x:c>
      <x:c r="L37" s="40" t="n">
        <x:v>676</x:v>
      </x:c>
      <x:c r="M37" s="40" t="n">
        <x:v>514</x:v>
      </x:c>
      <x:c r="N37" s="40" t="n">
        <x:v>859</x:v>
      </x:c>
      <x:c r="O37" s="40" t="n">
        <x:v>780</x:v>
      </x:c>
      <x:c r="P37" s="40" t="n">
        <x:f>IF(COUNT(J37:O37)=0,"",SUM(J37:O37))</x:f>
        <x:v>4653</x:v>
      </x:c>
      <x:c r="Q37" s="40" t="n">
        <x:v>5199556170</x:v>
      </x:c>
      <x:c r="R37" s="40" t="n">
        <x:v>98945076</x:v>
      </x:c>
      <x:c r="S37" s="40" t="n">
        <x:v>295615130</x:v>
      </x:c>
      <x:c r="T37" s="40" t="n">
        <x:v>0</x:v>
      </x:c>
      <x:c r="U37" s="40" t="n">
        <x:v>88800</x:v>
      </x:c>
      <x:c r="V37" s="49" t="str">
        <x:v>宫阙3级</x:v>
      </x:c>
      <x:c r="W37" s="49" t="n">
        <x:v>3</x:v>
      </x:c>
      <x:c r="X37" s="52" t="n">
        <x:f>ROUND(100*(0.4*LN(1+Q37)/LN(1+MAX($Q$5:$Q$395))+0.35*R37/MAX($R$5:$R$395)+0.15*S37/MAX($S$5:$S$395)+IF(P37="",0,0.1*P37/MAX($P$5:$P$395)))/IF(P37="",0.9,1),1)</x:f>
        <x:v>79.8</x:v>
      </x:c>
      <x:c r="Y37" s="49" t="n">
        <x:f>RANK.EQ(X37,$X$5:$X$395,0)</x:f>
        <x:v>40</x:v>
      </x:c>
      <x:c r="Z37" s="34" t="str">
        <x:v>补强一盟：总功勋、实力、战力及六维综合靠前</x:v>
      </x:c>
      <x:c r="AA37" s="55"/>
    </x:row>
    <x:row r="38" ht="20" customHeight="1">
      <x:c r="A38" s="46" t="n">
        <x:v>140</x:v>
      </x:c>
      <x:c r="B38" s="27" t="str">
        <x:v>笨牛儿</x:v>
      </x:c>
      <x:c r="C38" s="49" t="str">
        <x:v>玲珑</x:v>
      </x:c>
      <x:c r="D38" s="49" t="str">
        <x:v>兰亭</x:v>
      </x:c>
      <x:c r="E38" s="49" t="str">
        <x:v>玲珑→兰亭</x:v>
      </x:c>
      <x:c r="F38" s="49" t="str">
        <x:v>兰亭</x:v>
      </x:c>
      <x:c r="G38" s="49" t="str">
        <x:v>兰亭</x:v>
      </x:c>
      <x:c r="H38" s="37" t="n">
        <x:v>28.8</x:v>
      </x:c>
      <x:c r="I38" s="37" t="n">
        <x:v>28.8</x:v>
      </x:c>
      <x:c r="J38" s="40" t="n">
        <x:v>837</x:v>
      </x:c>
      <x:c r="K38" s="40" t="n">
        <x:v>900</x:v>
      </x:c>
      <x:c r="L38" s="40" t="n">
        <x:v>690</x:v>
      </x:c>
      <x:c r="M38" s="40" t="n">
        <x:v>520</x:v>
      </x:c>
      <x:c r="N38" s="40" t="n">
        <x:v>720</x:v>
      </x:c>
      <x:c r="O38" s="40" t="n">
        <x:v>780</x:v>
      </x:c>
      <x:c r="P38" s="40" t="n">
        <x:f>IF(COUNT(J38:O38)=0,"",SUM(J38:O38))</x:f>
        <x:v>4447</x:v>
      </x:c>
      <x:c r="Q38" s="40" t="n">
        <x:v>2224178508</x:v>
      </x:c>
      <x:c r="R38" s="40" t="n">
        <x:v>94122680</x:v>
      </x:c>
      <x:c r="S38" s="40" t="n">
        <x:v>397210703</x:v>
      </x:c>
      <x:c r="T38" s="40" t="n">
        <x:v>0</x:v>
      </x:c>
      <x:c r="U38" s="40" t="n">
        <x:v>81360</x:v>
      </x:c>
      <x:c r="V38" s="49" t="str">
        <x:v>宫阙3级</x:v>
      </x:c>
      <x:c r="W38" s="49" t="n">
        <x:v>3</x:v>
      </x:c>
      <x:c r="X38" s="52" t="n">
        <x:f>ROUND(100*(0.4*LN(1+Q38)/LN(1+MAX($Q$5:$Q$395))+0.35*R38/MAX($R$5:$R$395)+0.15*S38/MAX($S$5:$S$395)+IF(P38="",0,0.1*P38/MAX($P$5:$P$395)))/IF(P38="",0.9,1),1)</x:f>
        <x:v>79.7</x:v>
      </x:c>
      <x:c r="Y38" s="49" t="n">
        <x:f>RANK.EQ(X38,$X$5:$X$395,0)</x:f>
        <x:v>41</x:v>
      </x:c>
      <x:c r="Z38" s="34" t="str">
        <x:v>补强一盟：总功勋、实力、战力及六维综合靠前</x:v>
      </x:c>
      <x:c r="AA38" s="55"/>
    </x:row>
    <x:row r="39" ht="20" customHeight="1">
      <x:c r="A39" s="46" t="n">
        <x:v>255</x:v>
      </x:c>
      <x:c r="B39" s="27" t="str">
        <x:v>午夜玫瑰</x:v>
      </x:c>
      <x:c r="C39" s="49" t="str">
        <x:v>兰亭</x:v>
      </x:c>
      <x:c r="D39" s="49" t="str">
        <x:v>兰亭</x:v>
      </x:c>
      <x:c r="E39" s="49" t="str">
        <x:v>留盟</x:v>
      </x:c>
      <x:c r="F39" s="49" t="str"/>
      <x:c r="G39" s="49" t="str">
        <x:v>兰亭</x:v>
      </x:c>
      <x:c r="H39" s="37" t="n">
        <x:v>24.22</x:v>
      </x:c>
      <x:c r="I39" s="37" t="n">
        <x:v>24.22</x:v>
      </x:c>
      <x:c r="J39" s="40" t="n">
        <x:v>724</x:v>
      </x:c>
      <x:c r="K39" s="40" t="n">
        <x:v>792</x:v>
      </x:c>
      <x:c r="L39" s="40" t="n">
        <x:v>638</x:v>
      </x:c>
      <x:c r="M39" s="40" t="n">
        <x:v>638</x:v>
      </x:c>
      <x:c r="N39" s="40" t="n">
        <x:v>717</x:v>
      </x:c>
      <x:c r="O39" s="40" t="n">
        <x:v>795</x:v>
      </x:c>
      <x:c r="P39" s="40" t="n">
        <x:f>IF(COUNT(J39:O39)=0,"",SUM(J39:O39))</x:f>
        <x:v>4304</x:v>
      </x:c>
      <x:c r="Q39" s="40" t="n">
        <x:v>3072229238</x:v>
      </x:c>
      <x:c r="R39" s="40" t="n">
        <x:v>98923124</x:v>
      </x:c>
      <x:c r="S39" s="40" t="n">
        <x:v>336875690</x:v>
      </x:c>
      <x:c r="T39" s="40" t="n">
        <x:v>0</x:v>
      </x:c>
      <x:c r="U39" s="40" t="n">
        <x:v>104400</x:v>
      </x:c>
      <x:c r="V39" s="49" t="str">
        <x:v>宫阙3级</x:v>
      </x:c>
      <x:c r="W39" s="49" t="n">
        <x:v>3</x:v>
      </x:c>
      <x:c r="X39" s="52" t="n">
        <x:f>ROUND(100*(0.4*LN(1+Q39)/LN(1+MAX($Q$5:$Q$395))+0.35*R39/MAX($R$5:$R$395)+0.15*S39/MAX($S$5:$S$395)+IF(P39="",0,0.1*P39/MAX($P$5:$P$395)))/IF(P39="",0.9,1),1)</x:f>
        <x:v>79.5</x:v>
      </x:c>
      <x:c r="Y39" s="49" t="n">
        <x:f>RANK.EQ(X39,$X$5:$X$395,0)</x:f>
        <x:v>42</x:v>
      </x:c>
      <x:c r="Z39" s="34" t="str">
        <x:v>保留兰亭战斗骨干</x:v>
      </x:c>
      <x:c r="AA39" s="55"/>
    </x:row>
    <x:row r="40" ht="20" customHeight="1">
      <x:c r="A40" s="46" t="n">
        <x:v>19</x:v>
      </x:c>
      <x:c r="B40" s="27" t="str">
        <x:v>治好了也留口水</x:v>
      </x:c>
      <x:c r="C40" s="49" t="str">
        <x:v>花晨</x:v>
      </x:c>
      <x:c r="D40" s="49" t="str">
        <x:v>兰亭</x:v>
      </x:c>
      <x:c r="E40" s="49" t="str">
        <x:v>花晨→兰亭</x:v>
      </x:c>
      <x:c r="F40" s="49" t="str">
        <x:v>兰亭</x:v>
      </x:c>
      <x:c r="G40" s="49" t="str">
        <x:v>兰亭</x:v>
      </x:c>
      <x:c r="H40" s="37" t="n">
        <x:v>24.9</x:v>
      </x:c>
      <x:c r="I40" s="37" t="n">
        <x:v>22.7</x:v>
      </x:c>
      <x:c r="J40" s="40" t="n">
        <x:v>760</x:v>
      </x:c>
      <x:c r="K40" s="40" t="n">
        <x:v>1040</x:v>
      </x:c>
      <x:c r="L40" s="40" t="n">
        <x:v>710</x:v>
      </x:c>
      <x:c r="M40" s="40" t="n">
        <x:v>660</x:v>
      </x:c>
      <x:c r="N40" s="40" t="n">
        <x:v>690</x:v>
      </x:c>
      <x:c r="O40" s="40" t="n">
        <x:v>961</x:v>
      </x:c>
      <x:c r="P40" s="40" t="n">
        <x:f>IF(COUNT(J40:O40)=0,"",SUM(J40:O40))</x:f>
        <x:v>4821</x:v>
      </x:c>
      <x:c r="Q40" s="40" t="n">
        <x:v>5615681970</x:v>
      </x:c>
      <x:c r="R40" s="40" t="n">
        <x:v>102007771</x:v>
      </x:c>
      <x:c r="S40" s="40" t="n">
        <x:v>226369917</x:v>
      </x:c>
      <x:c r="T40" s="40" t="n">
        <x:v>0</x:v>
      </x:c>
      <x:c r="U40" s="40" t="n">
        <x:v>0</x:v>
      </x:c>
      <x:c r="V40" s="49" t="str">
        <x:v>宫阙3级</x:v>
      </x:c>
      <x:c r="W40" s="49" t="n">
        <x:v>1</x:v>
      </x:c>
      <x:c r="X40" s="52" t="n">
        <x:f>ROUND(100*(0.4*LN(1+Q40)/LN(1+MAX($Q$5:$Q$395))+0.35*R40/MAX($R$5:$R$395)+0.15*S40/MAX($S$5:$S$395)+IF(P40="",0,0.1*P40/MAX($P$5:$P$395)))/IF(P40="",0.9,1),1)</x:f>
        <x:v>78.9</x:v>
      </x:c>
      <x:c r="Y40" s="49" t="n">
        <x:f>RANK.EQ(X40,$X$5:$X$395,0)</x:f>
        <x:v>44</x:v>
      </x:c>
      <x:c r="Z40" s="34" t="str">
        <x:v>补强一盟：总功勋、实力、战力及六维综合靠前</x:v>
      </x:c>
      <x:c r="AA40" s="55"/>
    </x:row>
    <x:row r="41" ht="20" customHeight="1">
      <x:c r="A41" s="46" t="n">
        <x:v>249</x:v>
      </x:c>
      <x:c r="B41" s="27" t="str">
        <x:v>中秋嘉捷</x:v>
      </x:c>
      <x:c r="C41" s="49" t="str">
        <x:v>兰亭</x:v>
      </x:c>
      <x:c r="D41" s="49" t="str">
        <x:v>兰亭</x:v>
      </x:c>
      <x:c r="E41" s="49" t="str">
        <x:v>留盟</x:v>
      </x:c>
      <x:c r="F41" s="49" t="str"/>
      <x:c r="G41" s="49"/>
      <x:c r="H41" s="37" t="n">
        <x:v>28.1</x:v>
      </x:c>
      <x:c r="I41" s="37" t="n">
        <x:v>22.5</x:v>
      </x:c>
      <x:c r="J41" s="40" t="n">
        <x:v>835</x:v>
      </x:c>
      <x:c r="K41" s="40" t="n">
        <x:v>969</x:v>
      </x:c>
      <x:c r="L41" s="40" t="n">
        <x:v>679</x:v>
      </x:c>
      <x:c r="M41" s="40" t="n">
        <x:v>655</x:v>
      </x:c>
      <x:c r="N41" s="40" t="n">
        <x:v>731</x:v>
      </x:c>
      <x:c r="O41" s="40" t="n">
        <x:v>882</x:v>
      </x:c>
      <x:c r="P41" s="40" t="n">
        <x:f>IF(COUNT(J41:O41)=0,"",SUM(J41:O41))</x:f>
        <x:v>4751</x:v>
      </x:c>
      <x:c r="Q41" s="40" t="n">
        <x:v>3682412709</x:v>
      </x:c>
      <x:c r="R41" s="40" t="n">
        <x:v>96271643</x:v>
      </x:c>
      <x:c r="S41" s="40" t="n">
        <x:v>301955388</x:v>
      </x:c>
      <x:c r="T41" s="40" t="n">
        <x:v>0</x:v>
      </x:c>
      <x:c r="U41" s="40" t="n">
        <x:v>155280</x:v>
      </x:c>
      <x:c r="V41" s="49" t="str">
        <x:v>宫阙3级</x:v>
      </x:c>
      <x:c r="W41" s="49" t="n">
        <x:v>4</x:v>
      </x:c>
      <x:c r="X41" s="52" t="n">
        <x:f>ROUND(100*(0.4*LN(1+Q41)/LN(1+MAX($Q$5:$Q$395))+0.35*R41/MAX($R$5:$R$395)+0.15*S41/MAX($S$5:$S$395)+IF(P41="",0,0.1*P41/MAX($P$5:$P$395)))/IF(P41="",0.9,1),1)</x:f>
        <x:v>78.8</x:v>
      </x:c>
      <x:c r="Y41" s="49" t="n">
        <x:f>RANK.EQ(X41,$X$5:$X$395,0)</x:f>
        <x:v>45</x:v>
      </x:c>
      <x:c r="Z41" s="34" t="str">
        <x:v>保留兰亭战斗骨干</x:v>
      </x:c>
      <x:c r="AA41" s="55"/>
    </x:row>
    <x:row r="42" ht="20" customHeight="1">
      <x:c r="A42" s="46" t="n">
        <x:v>224</x:v>
      </x:c>
      <x:c r="B42" s="27" t="str">
        <x:v>灬人间灬</x:v>
      </x:c>
      <x:c r="C42" s="49" t="str">
        <x:v>兰亭</x:v>
      </x:c>
      <x:c r="D42" s="49" t="str">
        <x:v>兰亭</x:v>
      </x:c>
      <x:c r="E42" s="49" t="str">
        <x:v>留盟</x:v>
      </x:c>
      <x:c r="F42" s="49" t="str">
        <x:v>花晨</x:v>
      </x:c>
      <x:c r="G42" s="49"/>
      <x:c r="H42" s="37"/>
      <x:c r="I42" s="37"/>
      <x:c r="J42" s="40"/>
      <x:c r="K42" s="40"/>
      <x:c r="L42" s="40"/>
      <x:c r="M42" s="40"/>
      <x:c r="N42" s="40"/>
      <x:c r="O42" s="40"/>
      <x:c r="P42" s="40" t="str">
        <x:f>IF(COUNT(J42:O42)=0,"",SUM(J42:O42))</x:f>
      </x:c>
      <x:c r="Q42" s="40" t="n">
        <x:v>5059500204</x:v>
      </x:c>
      <x:c r="R42" s="40" t="n">
        <x:v>86710379</x:v>
      </x:c>
      <x:c r="S42" s="40" t="n">
        <x:v>344933008</x:v>
      </x:c>
      <x:c r="T42" s="40" t="n">
        <x:v>0</x:v>
      </x:c>
      <x:c r="U42" s="40" t="n">
        <x:v>138960</x:v>
      </x:c>
      <x:c r="V42" s="49" t="str">
        <x:v>宫阙3级</x:v>
      </x:c>
      <x:c r="W42" s="49" t="n">
        <x:v>4</x:v>
      </x:c>
      <x:c r="X42" s="52" t="n">
        <x:f>ROUND(100*(0.4*LN(1+Q42)/LN(1+MAX($Q$5:$Q$395))+0.35*R42/MAX($R$5:$R$395)+0.15*S42/MAX($S$5:$S$395)+IF(P42="",0,0.1*P42/MAX($P$5:$P$395)))/IF(P42="",0.9,1),1)</x:f>
        <x:v>78.6</x:v>
      </x:c>
      <x:c r="Y42" s="49" t="n">
        <x:f>RANK.EQ(X42,$X$5:$X$395,0)</x:f>
        <x:v>49</x:v>
      </x:c>
      <x:c r="Z42" s="34" t="str">
        <x:v>保留兰亭战斗骨干</x:v>
      </x:c>
      <x:c r="AA42" s="55" t="str">
        <x:v>六维未匹配</x:v>
      </x:c>
    </x:row>
    <x:row r="43" ht="20" customHeight="1">
      <x:c r="A43" s="46" t="n">
        <x:v>256</x:v>
      </x:c>
      <x:c r="B43" s="27" t="str">
        <x:v>萍果唐</x:v>
      </x:c>
      <x:c r="C43" s="49" t="str">
        <x:v>兰亭</x:v>
      </x:c>
      <x:c r="D43" s="49" t="str">
        <x:v>兰亭</x:v>
      </x:c>
      <x:c r="E43" s="49" t="str">
        <x:v>留盟</x:v>
      </x:c>
      <x:c r="F43" s="49" t="str"/>
      <x:c r="G43" s="49" t="str">
        <x:v>兰亭</x:v>
      </x:c>
      <x:c r="H43" s="37"/>
      <x:c r="I43" s="37" t="n">
        <x:v>28.8</x:v>
      </x:c>
      <x:c r="J43" s="40" t="n">
        <x:v>767</x:v>
      </x:c>
      <x:c r="K43" s="40" t="n">
        <x:v>925</x:v>
      </x:c>
      <x:c r="L43" s="40" t="n">
        <x:v>688</x:v>
      </x:c>
      <x:c r="M43" s="40" t="n">
        <x:v>573</x:v>
      </x:c>
      <x:c r="N43" s="40" t="n">
        <x:v>745</x:v>
      </x:c>
      <x:c r="O43" s="40" t="n">
        <x:v>963</x:v>
      </x:c>
      <x:c r="P43" s="40" t="n">
        <x:f>IF(COUNT(J43:O43)=0,"",SUM(J43:O43))</x:f>
        <x:v>4661</x:v>
      </x:c>
      <x:c r="Q43" s="40" t="n">
        <x:v>3048536482</x:v>
      </x:c>
      <x:c r="R43" s="40" t="n">
        <x:v>94215775</x:v>
      </x:c>
      <x:c r="S43" s="40" t="n">
        <x:v>314348302</x:v>
      </x:c>
      <x:c r="T43" s="40" t="n">
        <x:v>0</x:v>
      </x:c>
      <x:c r="U43" s="40" t="n">
        <x:v>56640</x:v>
      </x:c>
      <x:c r="V43" s="49" t="str">
        <x:v>宫阙3级</x:v>
      </x:c>
      <x:c r="W43" s="49" t="n">
        <x:v>1</x:v>
      </x:c>
      <x:c r="X43" s="52" t="n">
        <x:f>ROUND(100*(0.4*LN(1+Q43)/LN(1+MAX($Q$5:$Q$395))+0.35*R43/MAX($R$5:$R$395)+0.15*S43/MAX($S$5:$S$395)+IF(P43="",0,0.1*P43/MAX($P$5:$P$395)))/IF(P43="",0.9,1),1)</x:f>
        <x:v>78.2</x:v>
      </x:c>
      <x:c r="Y43" s="49" t="n">
        <x:f>RANK.EQ(X43,$X$5:$X$395,0)</x:f>
        <x:v>56</x:v>
      </x:c>
      <x:c r="Z43" s="34" t="str">
        <x:v>保留兰亭战斗骨干</x:v>
      </x:c>
      <x:c r="AA43" s="55"/>
    </x:row>
    <x:row r="44" ht="20" customHeight="1">
      <x:c r="A44" s="46" t="n">
        <x:v>233</x:v>
      </x:c>
      <x:c r="B44" s="27" t="str">
        <x:v>叫什么名字呢</x:v>
      </x:c>
      <x:c r="C44" s="49" t="str">
        <x:v>兰亭</x:v>
      </x:c>
      <x:c r="D44" s="49" t="str">
        <x:v>兰亭</x:v>
      </x:c>
      <x:c r="E44" s="49" t="str">
        <x:v>留盟</x:v>
      </x:c>
      <x:c r="F44" s="49" t="str"/>
      <x:c r="G44" s="49"/>
      <x:c r="H44" s="37"/>
      <x:c r="I44" s="37"/>
      <x:c r="J44" s="40"/>
      <x:c r="K44" s="40"/>
      <x:c r="L44" s="40"/>
      <x:c r="M44" s="40"/>
      <x:c r="N44" s="40"/>
      <x:c r="O44" s="40"/>
      <x:c r="P44" s="40" t="str">
        <x:f>IF(COUNT(J44:O44)=0,"",SUM(J44:O44))</x:f>
      </x:c>
      <x:c r="Q44" s="40" t="n">
        <x:v>4427346768</x:v>
      </x:c>
      <x:c r="R44" s="40" t="n">
        <x:v>90780169</x:v>
      </x:c>
      <x:c r="S44" s="40" t="n">
        <x:v>262309531</x:v>
      </x:c>
      <x:c r="T44" s="40" t="n">
        <x:v>0</x:v>
      </x:c>
      <x:c r="U44" s="40" t="n">
        <x:v>142320</x:v>
      </x:c>
      <x:c r="V44" s="49" t="str">
        <x:v>宫阙3级</x:v>
      </x:c>
      <x:c r="W44" s="49" t="n">
        <x:v>3</x:v>
      </x:c>
      <x:c r="X44" s="52" t="n">
        <x:f>ROUND(100*(0.4*LN(1+Q44)/LN(1+MAX($Q$5:$Q$395))+0.35*R44/MAX($R$5:$R$395)+0.15*S44/MAX($S$5:$S$395)+IF(P44="",0,0.1*P44/MAX($P$5:$P$395)))/IF(P44="",0.9,1),1)</x:f>
        <x:v>76.8</x:v>
      </x:c>
      <x:c r="Y44" s="49" t="n">
        <x:f>RANK.EQ(X44,$X$5:$X$395,0)</x:f>
        <x:v>68</x:v>
      </x:c>
      <x:c r="Z44" s="34" t="str">
        <x:v>保留兰亭战斗骨干</x:v>
      </x:c>
      <x:c r="AA44" s="55" t="str">
        <x:v>六维未匹配</x:v>
      </x:c>
    </x:row>
    <x:row r="45" ht="20" customHeight="1">
      <x:c r="A45" s="46" t="n">
        <x:v>268</x:v>
      </x:c>
      <x:c r="B45" s="27" t="str">
        <x:v>夜轻尘</x:v>
      </x:c>
      <x:c r="C45" s="49" t="str">
        <x:v>兰亭</x:v>
      </x:c>
      <x:c r="D45" s="49" t="str">
        <x:v>兰亭</x:v>
      </x:c>
      <x:c r="E45" s="49" t="str">
        <x:v>留盟</x:v>
      </x:c>
      <x:c r="F45" s="49" t="str">
        <x:v>玲珑</x:v>
      </x:c>
      <x:c r="G45" s="49" t="str">
        <x:v>兰亭</x:v>
      </x:c>
      <x:c r="H45" s="37" t="n">
        <x:v>26.4</x:v>
      </x:c>
      <x:c r="I45" s="37" t="n">
        <x:v>22.8</x:v>
      </x:c>
      <x:c r="J45" s="40" t="n">
        <x:v>819</x:v>
      </x:c>
      <x:c r="K45" s="40" t="n">
        <x:v>980</x:v>
      </x:c>
      <x:c r="L45" s="40" t="n">
        <x:v>720</x:v>
      </x:c>
      <x:c r="M45" s="40" t="n">
        <x:v>680</x:v>
      </x:c>
      <x:c r="N45" s="40" t="n">
        <x:v>746</x:v>
      </x:c>
      <x:c r="O45" s="40" t="n">
        <x:v>760</x:v>
      </x:c>
      <x:c r="P45" s="40" t="n">
        <x:f>IF(COUNT(J45:O45)=0,"",SUM(J45:O45))</x:f>
        <x:v>4705</x:v>
      </x:c>
      <x:c r="Q45" s="40" t="n">
        <x:v>2228559476</x:v>
      </x:c>
      <x:c r="R45" s="40" t="n">
        <x:v>92955964</x:v>
      </x:c>
      <x:c r="S45" s="40" t="n">
        <x:v>278210085</x:v>
      </x:c>
      <x:c r="T45" s="40" t="n">
        <x:v>0</x:v>
      </x:c>
      <x:c r="U45" s="40" t="n">
        <x:v>85680</x:v>
      </x:c>
      <x:c r="V45" s="49" t="str">
        <x:v>宫阙3级</x:v>
      </x:c>
      <x:c r="W45" s="49" t="n">
        <x:v>3</x:v>
      </x:c>
      <x:c r="X45" s="52" t="n">
        <x:f>ROUND(100*(0.4*LN(1+Q45)/LN(1+MAX($Q$5:$Q$395))+0.35*R45/MAX($R$5:$R$395)+0.15*S45/MAX($S$5:$S$395)+IF(P45="",0,0.1*P45/MAX($P$5:$P$395)))/IF(P45="",0.9,1),1)</x:f>
        <x:v>76.3</x:v>
      </x:c>
      <x:c r="Y45" s="49" t="n">
        <x:f>RANK.EQ(X45,$X$5:$X$395,0)</x:f>
        <x:v>79</x:v>
      </x:c>
      <x:c r="Z45" s="34" t="str">
        <x:v>保留兰亭战斗骨干</x:v>
      </x:c>
      <x:c r="AA45" s="55"/>
    </x:row>
    <x:row r="46" ht="20" customHeight="1">
      <x:c r="A46" s="46" t="n">
        <x:v>227</x:v>
      </x:c>
      <x:c r="B46" s="27" t="str">
        <x:v>香香公主59</x:v>
      </x:c>
      <x:c r="C46" s="49" t="str">
        <x:v>兰亭</x:v>
      </x:c>
      <x:c r="D46" s="49" t="str">
        <x:v>兰亭</x:v>
      </x:c>
      <x:c r="E46" s="49" t="str">
        <x:v>留盟</x:v>
      </x:c>
      <x:c r="F46" s="49" t="str">
        <x:v>花晨</x:v>
      </x:c>
      <x:c r="G46" s="49" t="str">
        <x:v>兰亭</x:v>
      </x:c>
      <x:c r="H46" s="37" t="n">
        <x:v>28.8</x:v>
      </x:c>
      <x:c r="I46" s="37" t="n">
        <x:v>28.8</x:v>
      </x:c>
      <x:c r="J46" s="40" t="n">
        <x:v>789</x:v>
      </x:c>
      <x:c r="K46" s="40" t="n">
        <x:v>839</x:v>
      </x:c>
      <x:c r="L46" s="40" t="n">
        <x:v>645</x:v>
      </x:c>
      <x:c r="M46" s="40" t="n">
        <x:v>441</x:v>
      </x:c>
      <x:c r="N46" s="40" t="n">
        <x:v>715</x:v>
      </x:c>
      <x:c r="O46" s="40" t="n">
        <x:v>761</x:v>
      </x:c>
      <x:c r="P46" s="40" t="n">
        <x:f>IF(COUNT(J46:O46)=0,"",SUM(J46:O46))</x:f>
        <x:v>4190</x:v>
      </x:c>
      <x:c r="Q46" s="40" t="n">
        <x:v>4820060305</x:v>
      </x:c>
      <x:c r="R46" s="40" t="n">
        <x:v>92206945</x:v>
      </x:c>
      <x:c r="S46" s="40" t="n">
        <x:v>251054647</x:v>
      </x:c>
      <x:c r="T46" s="40" t="n">
        <x:v>0</x:v>
      </x:c>
      <x:c r="U46" s="40" t="n">
        <x:v>104400</x:v>
      </x:c>
      <x:c r="V46" s="49" t="str">
        <x:v>宫阙3级</x:v>
      </x:c>
      <x:c r="W46" s="49" t="n">
        <x:v>4</x:v>
      </x:c>
      <x:c r="X46" s="52" t="n">
        <x:f>ROUND(100*(0.4*LN(1+Q46)/LN(1+MAX($Q$5:$Q$395))+0.35*R46/MAX($R$5:$R$395)+0.15*S46/MAX($S$5:$S$395)+IF(P46="",0,0.1*P46/MAX($P$5:$P$395)))/IF(P46="",0.9,1),1)</x:f>
        <x:v>75.9</x:v>
      </x:c>
      <x:c r="Y46" s="49" t="n">
        <x:f>RANK.EQ(X46,$X$5:$X$395,0)</x:f>
        <x:v>86</x:v>
      </x:c>
      <x:c r="Z46" s="34" t="str">
        <x:v>保留兰亭战斗骨干</x:v>
      </x:c>
      <x:c r="AA46" s="55" t="str">
        <x:v>名称对应：香香公主</x:v>
      </x:c>
    </x:row>
    <x:row r="47" ht="20" customHeight="1">
      <x:c r="A47" s="46" t="n">
        <x:v>232</x:v>
      </x:c>
      <x:c r="B47" s="27" t="str">
        <x:v>云台海阁</x:v>
      </x:c>
      <x:c r="C47" s="49" t="str">
        <x:v>兰亭</x:v>
      </x:c>
      <x:c r="D47" s="49" t="str">
        <x:v>兰亭</x:v>
      </x:c>
      <x:c r="E47" s="49" t="str">
        <x:v>留盟</x:v>
      </x:c>
      <x:c r="F47" s="49" t="str">
        <x:v>玲珑</x:v>
      </x:c>
      <x:c r="G47" s="49" t="str">
        <x:v>兰亭</x:v>
      </x:c>
      <x:c r="H47" s="37" t="n">
        <x:v>28.3</x:v>
      </x:c>
      <x:c r="I47" s="37" t="n">
        <x:v>28.3</x:v>
      </x:c>
      <x:c r="J47" s="40" t="n">
        <x:v>795</x:v>
      </x:c>
      <x:c r="K47" s="40" t="n">
        <x:v>895</x:v>
      </x:c>
      <x:c r="L47" s="40" t="n">
        <x:v>683</x:v>
      </x:c>
      <x:c r="M47" s="40" t="n">
        <x:v>650</x:v>
      </x:c>
      <x:c r="N47" s="40" t="n">
        <x:v>712</x:v>
      </x:c>
      <x:c r="O47" s="40" t="n">
        <x:v>777</x:v>
      </x:c>
      <x:c r="P47" s="40" t="n">
        <x:f>IF(COUNT(J47:O47)=0,"",SUM(J47:O47))</x:f>
        <x:v>4512</x:v>
      </x:c>
      <x:c r="Q47" s="40" t="n">
        <x:v>4500768304</x:v>
      </x:c>
      <x:c r="R47" s="40" t="n">
        <x:v>89634865</x:v>
      </x:c>
      <x:c r="S47" s="40" t="n">
        <x:v>252525939</x:v>
      </x:c>
      <x:c r="T47" s="40" t="n">
        <x:v>0</x:v>
      </x:c>
      <x:c r="U47" s="40" t="n">
        <x:v>159600</x:v>
      </x:c>
      <x:c r="V47" s="49" t="str">
        <x:v>宫阙3级</x:v>
      </x:c>
      <x:c r="W47" s="49" t="n">
        <x:v>3</x:v>
      </x:c>
      <x:c r="X47" s="52" t="n">
        <x:f>ROUND(100*(0.4*LN(1+Q47)/LN(1+MAX($Q$5:$Q$395))+0.35*R47/MAX($R$5:$R$395)+0.15*S47/MAX($S$5:$S$395)+IF(P47="",0,0.1*P47/MAX($P$5:$P$395)))/IF(P47="",0.9,1),1)</x:f>
        <x:v>75.6</x:v>
      </x:c>
      <x:c r="Y47" s="49" t="n">
        <x:f>RANK.EQ(X47,$X$5:$X$395,0)</x:f>
        <x:v>97</x:v>
      </x:c>
      <x:c r="Z47" s="34" t="str">
        <x:v>保留兰亭战斗骨干</x:v>
      </x:c>
      <x:c r="AA47" s="55"/>
    </x:row>
    <x:row r="48" ht="20" customHeight="1">
      <x:c r="A48" s="46" t="n">
        <x:v>236</x:v>
      </x:c>
      <x:c r="B48" s="27" t="str">
        <x:v>今夜无事勾栏听曲</x:v>
      </x:c>
      <x:c r="C48" s="49" t="str">
        <x:v>兰亭</x:v>
      </x:c>
      <x:c r="D48" s="49" t="str">
        <x:v>兰亭</x:v>
      </x:c>
      <x:c r="E48" s="49" t="str">
        <x:v>留盟</x:v>
      </x:c>
      <x:c r="F48" s="49" t="str"/>
      <x:c r="G48" s="49" t="str">
        <x:v>兰亭</x:v>
      </x:c>
      <x:c r="H48" s="37" t="n">
        <x:v>28.2</x:v>
      </x:c>
      <x:c r="I48" s="37" t="n">
        <x:v>28.2</x:v>
      </x:c>
      <x:c r="J48" s="40" t="n">
        <x:v>799</x:v>
      </x:c>
      <x:c r="K48" s="40" t="n">
        <x:v>824</x:v>
      </x:c>
      <x:c r="L48" s="40" t="n">
        <x:v>690</x:v>
      </x:c>
      <x:c r="M48" s="40" t="n">
        <x:v>614</x:v>
      </x:c>
      <x:c r="N48" s="40" t="n">
        <x:v>722</x:v>
      </x:c>
      <x:c r="O48" s="40" t="n">
        <x:v>734</x:v>
      </x:c>
      <x:c r="P48" s="40" t="n">
        <x:f>IF(COUNT(J48:O48)=0,"",SUM(J48:O48))</x:f>
        <x:v>4383</x:v>
      </x:c>
      <x:c r="Q48" s="40" t="n">
        <x:v>4338833469</x:v>
      </x:c>
      <x:c r="R48" s="40" t="n">
        <x:v>87182456</x:v>
      </x:c>
      <x:c r="S48" s="40" t="n">
        <x:v>278325337</x:v>
      </x:c>
      <x:c r="T48" s="40" t="n">
        <x:v>0</x:v>
      </x:c>
      <x:c r="U48" s="40" t="n">
        <x:v>89520</x:v>
      </x:c>
      <x:c r="V48" s="49" t="str">
        <x:v>宫阙3级</x:v>
      </x:c>
      <x:c r="W48" s="49" t="n">
        <x:v>1</x:v>
      </x:c>
      <x:c r="X48" s="52" t="n">
        <x:f>ROUND(100*(0.4*LN(1+Q48)/LN(1+MAX($Q$5:$Q$395))+0.35*R48/MAX($R$5:$R$395)+0.15*S48/MAX($S$5:$S$395)+IF(P48="",0,0.1*P48/MAX($P$5:$P$395)))/IF(P48="",0.9,1),1)</x:f>
        <x:v>75.5</x:v>
      </x:c>
      <x:c r="Y48" s="49" t="n">
        <x:f>RANK.EQ(X48,$X$5:$X$395,0)</x:f>
        <x:v>100</x:v>
      </x:c>
      <x:c r="Z48" s="34" t="str">
        <x:v>保留兰亭战斗骨干</x:v>
      </x:c>
      <x:c r="AA48" s="55"/>
    </x:row>
    <x:row r="49" ht="20" customHeight="1">
      <x:c r="A49" s="46" t="n">
        <x:v>217</x:v>
      </x:c>
      <x:c r="B49" s="27" t="str">
        <x:v>珍宝阁</x:v>
      </x:c>
      <x:c r="C49" s="49" t="str">
        <x:v>兰亭</x:v>
      </x:c>
      <x:c r="D49" s="49" t="str">
        <x:v>兰亭</x:v>
      </x:c>
      <x:c r="E49" s="49" t="str">
        <x:v>留盟</x:v>
      </x:c>
      <x:c r="F49" s="49" t="str"/>
      <x:c r="G49" s="49" t="str">
        <x:v>兰亭</x:v>
      </x:c>
      <x:c r="H49" s="37" t="n">
        <x:v>25.8</x:v>
      </x:c>
      <x:c r="I49" s="37" t="n">
        <x:v>25.8</x:v>
      </x:c>
      <x:c r="J49" s="40" t="n">
        <x:v>735</x:v>
      </x:c>
      <x:c r="K49" s="40" t="n">
        <x:v>779</x:v>
      </x:c>
      <x:c r="L49" s="40" t="n">
        <x:v>583</x:v>
      </x:c>
      <x:c r="M49" s="40" t="n">
        <x:v>546</x:v>
      </x:c>
      <x:c r="N49" s="40" t="n">
        <x:v>787</x:v>
      </x:c>
      <x:c r="O49" s="40" t="n">
        <x:v>850</x:v>
      </x:c>
      <x:c r="P49" s="40" t="n">
        <x:f>IF(COUNT(J49:O49)=0,"",SUM(J49:O49))</x:f>
        <x:v>4280</x:v>
      </x:c>
      <x:c r="Q49" s="40" t="n">
        <x:v>5406571154</x:v>
      </x:c>
      <x:c r="R49" s="40" t="n">
        <x:v>82016988</x:v>
      </x:c>
      <x:c r="S49" s="40" t="n">
        <x:v>316671698</x:v>
      </x:c>
      <x:c r="T49" s="40" t="n">
        <x:v>0</x:v>
      </x:c>
      <x:c r="U49" s="40" t="n">
        <x:v>2160</x:v>
      </x:c>
      <x:c r="V49" s="49" t="str">
        <x:v>宫阙3级</x:v>
      </x:c>
      <x:c r="W49" s="49" t="n">
        <x:v>1</x:v>
      </x:c>
      <x:c r="X49" s="52" t="n">
        <x:f>ROUND(100*(0.4*LN(1+Q49)/LN(1+MAX($Q$5:$Q$395))+0.35*R49/MAX($R$5:$R$395)+0.15*S49/MAX($S$5:$S$395)+IF(P49="",0,0.1*P49/MAX($P$5:$P$395)))/IF(P49="",0.9,1),1)</x:f>
        <x:v>75.5</x:v>
      </x:c>
      <x:c r="Y49" s="49" t="n">
        <x:f>RANK.EQ(X49,$X$5:$X$395,0)</x:f>
        <x:v>100</x:v>
      </x:c>
      <x:c r="Z49" s="34" t="str">
        <x:v>保留兰亭战斗骨干</x:v>
      </x:c>
      <x:c r="AA49" s="55"/>
    </x:row>
    <x:row r="50" ht="20" customHeight="1">
      <x:c r="A50" s="46" t="n">
        <x:v>244</x:v>
      </x:c>
      <x:c r="B50" s="27" t="str">
        <x:v>无忧城主</x:v>
      </x:c>
      <x:c r="C50" s="49" t="str">
        <x:v>兰亭</x:v>
      </x:c>
      <x:c r="D50" s="49" t="str">
        <x:v>兰亭</x:v>
      </x:c>
      <x:c r="E50" s="49" t="str">
        <x:v>留盟</x:v>
      </x:c>
      <x:c r="F50" s="49" t="str"/>
      <x:c r="G50" s="49"/>
      <x:c r="H50" s="37"/>
      <x:c r="I50" s="37"/>
      <x:c r="J50" s="40"/>
      <x:c r="K50" s="40"/>
      <x:c r="L50" s="40"/>
      <x:c r="M50" s="40"/>
      <x:c r="N50" s="40"/>
      <x:c r="O50" s="40"/>
      <x:c r="P50" s="40" t="str">
        <x:f>IF(COUNT(J50:O50)=0,"",SUM(J50:O50))</x:f>
      </x:c>
      <x:c r="Q50" s="40" t="n">
        <x:v>3948710339</x:v>
      </x:c>
      <x:c r="R50" s="40" t="n">
        <x:v>88815432</x:v>
      </x:c>
      <x:c r="S50" s="40" t="n">
        <x:v>241010435</x:v>
      </x:c>
      <x:c r="T50" s="40" t="n">
        <x:v>0</x:v>
      </x:c>
      <x:c r="U50" s="40" t="n">
        <x:v>74400</x:v>
      </x:c>
      <x:c r="V50" s="49" t="str">
        <x:v>宫阙3级</x:v>
      </x:c>
      <x:c r="W50" s="49" t="n">
        <x:v>1</x:v>
      </x:c>
      <x:c r="X50" s="52" t="n">
        <x:f>ROUND(100*(0.4*LN(1+Q50)/LN(1+MAX($Q$5:$Q$395))+0.35*R50/MAX($R$5:$R$395)+0.15*S50/MAX($S$5:$S$395)+IF(P50="",0,0.1*P50/MAX($P$5:$P$395)))/IF(P50="",0.9,1),1)</x:f>
        <x:v>75.3</x:v>
      </x:c>
      <x:c r="Y50" s="49" t="n">
        <x:f>RANK.EQ(X50,$X$5:$X$395,0)</x:f>
        <x:v>102</x:v>
      </x:c>
      <x:c r="Z50" s="34" t="str">
        <x:v>保留兰亭战斗骨干</x:v>
      </x:c>
      <x:c r="AA50" s="55" t="str">
        <x:v>六维未匹配</x:v>
      </x:c>
    </x:row>
    <x:row r="51" ht="20" customHeight="1">
      <x:c r="A51" s="46" t="n">
        <x:v>284</x:v>
      </x:c>
      <x:c r="B51" s="27" t="str">
        <x:v>我我丶</x:v>
      </x:c>
      <x:c r="C51" s="49" t="str">
        <x:v>兰亭</x:v>
      </x:c>
      <x:c r="D51" s="49" t="str">
        <x:v>兰亭</x:v>
      </x:c>
      <x:c r="E51" s="49" t="str">
        <x:v>留盟</x:v>
      </x:c>
      <x:c r="F51" s="49" t="str">
        <x:v>玲珑</x:v>
      </x:c>
      <x:c r="G51" s="49" t="str">
        <x:v>兰亭</x:v>
      </x:c>
      <x:c r="H51" s="37" t="n">
        <x:v>28.2</x:v>
      </x:c>
      <x:c r="I51" s="37" t="n">
        <x:v>28.2</x:v>
      </x:c>
      <x:c r="J51" s="40" t="n">
        <x:v>833</x:v>
      </x:c>
      <x:c r="K51" s="40" t="n">
        <x:v>838</x:v>
      </x:c>
      <x:c r="L51" s="40" t="n">
        <x:v>731</x:v>
      </x:c>
      <x:c r="M51" s="40" t="n">
        <x:v>615</x:v>
      </x:c>
      <x:c r="N51" s="40" t="n">
        <x:v>749</x:v>
      </x:c>
      <x:c r="O51" s="40" t="n">
        <x:v>707</x:v>
      </x:c>
      <x:c r="P51" s="40" t="n">
        <x:f>IF(COUNT(J51:O51)=0,"",SUM(J51:O51))</x:f>
        <x:v>4473</x:v>
      </x:c>
      <x:c r="Q51" s="40" t="n">
        <x:v>937364504</x:v>
      </x:c>
      <x:c r="R51" s="40" t="n">
        <x:v>96498883</x:v>
      </x:c>
      <x:c r="S51" s="40" t="n">
        <x:v>270458449</x:v>
      </x:c>
      <x:c r="T51" s="40" t="n">
        <x:v>0</x:v>
      </x:c>
      <x:c r="U51" s="40" t="n">
        <x:v>57600</x:v>
      </x:c>
      <x:c r="V51" s="49" t="str">
        <x:v>宫阙3级</x:v>
      </x:c>
      <x:c r="W51" s="49" t="n">
        <x:v>3</x:v>
      </x:c>
      <x:c r="X51" s="52" t="n">
        <x:f>ROUND(100*(0.4*LN(1+Q51)/LN(1+MAX($Q$5:$Q$395))+0.35*R51/MAX($R$5:$R$395)+0.15*S51/MAX($S$5:$S$395)+IF(P51="",0,0.1*P51/MAX($P$5:$P$395)))/IF(P51="",0.9,1),1)</x:f>
        <x:v>75.2</x:v>
      </x:c>
      <x:c r="Y51" s="49" t="n">
        <x:f>RANK.EQ(X51,$X$5:$X$395,0)</x:f>
        <x:v>105</x:v>
      </x:c>
      <x:c r="Z51" s="34" t="str">
        <x:v>保留兰亭战斗骨干</x:v>
      </x:c>
      <x:c r="AA51" s="55"/>
    </x:row>
    <x:row r="52" ht="20" customHeight="1">
      <x:c r="A52" s="46" t="n">
        <x:v>241</x:v>
      </x:c>
      <x:c r="B52" s="27" t="str">
        <x:v>资本家来了</x:v>
      </x:c>
      <x:c r="C52" s="49" t="str">
        <x:v>兰亭</x:v>
      </x:c>
      <x:c r="D52" s="49" t="str">
        <x:v>兰亭</x:v>
      </x:c>
      <x:c r="E52" s="49" t="str">
        <x:v>留盟</x:v>
      </x:c>
      <x:c r="F52" s="49" t="str"/>
      <x:c r="G52" s="49"/>
      <x:c r="H52" s="37" t="n">
        <x:v>28.6</x:v>
      </x:c>
      <x:c r="I52" s="37" t="n">
        <x:v>28.6</x:v>
      </x:c>
      <x:c r="J52" s="40" t="n">
        <x:v>840</x:v>
      </x:c>
      <x:c r="K52" s="40" t="n">
        <x:v>888</x:v>
      </x:c>
      <x:c r="L52" s="40" t="n">
        <x:v>610</x:v>
      </x:c>
      <x:c r="M52" s="40" t="n">
        <x:v>597</x:v>
      </x:c>
      <x:c r="N52" s="40" t="n">
        <x:v>787</x:v>
      </x:c>
      <x:c r="O52" s="40" t="n">
        <x:v>850</x:v>
      </x:c>
      <x:c r="P52" s="40" t="n">
        <x:f>IF(COUNT(J52:O52)=0,"",SUM(J52:O52))</x:f>
        <x:v>4572</x:v>
      </x:c>
      <x:c r="Q52" s="40" t="n">
        <x:v>4019387772</x:v>
      </x:c>
      <x:c r="R52" s="40" t="n">
        <x:v>86885168</x:v>
      </x:c>
      <x:c r="S52" s="40" t="n">
        <x:v>264015491</x:v>
      </x:c>
      <x:c r="T52" s="40" t="n">
        <x:v>0</x:v>
      </x:c>
      <x:c r="U52" s="40" t="n">
        <x:v>44640</x:v>
      </x:c>
      <x:c r="V52" s="49" t="str">
        <x:v>宫阙3级</x:v>
      </x:c>
      <x:c r="W52" s="49" t="n">
        <x:v>4</x:v>
      </x:c>
      <x:c r="X52" s="52" t="n">
        <x:f>ROUND(100*(0.4*LN(1+Q52)/LN(1+MAX($Q$5:$Q$395))+0.35*R52/MAX($R$5:$R$395)+0.15*S52/MAX($S$5:$S$395)+IF(P52="",0,0.1*P52/MAX($P$5:$P$395)))/IF(P52="",0.9,1),1)</x:f>
        <x:v>75.2</x:v>
      </x:c>
      <x:c r="Y52" s="49" t="n">
        <x:f>RANK.EQ(X52,$X$5:$X$395,0)</x:f>
        <x:v>105</x:v>
      </x:c>
      <x:c r="Z52" s="34" t="str">
        <x:v>保留兰亭战斗骨干</x:v>
      </x:c>
      <x:c r="AA52" s="55" t="str">
        <x:v>名称对应：资本家</x:v>
      </x:c>
    </x:row>
    <x:row r="53" ht="20" customHeight="1">
      <x:c r="A53" s="46" t="n">
        <x:v>267</x:v>
      </x:c>
      <x:c r="B53" s="27" t="str">
        <x:v>钱多多</x:v>
      </x:c>
      <x:c r="C53" s="49" t="str">
        <x:v>兰亭</x:v>
      </x:c>
      <x:c r="D53" s="49" t="str">
        <x:v>兰亭</x:v>
      </x:c>
      <x:c r="E53" s="49" t="str">
        <x:v>留盟</x:v>
      </x:c>
      <x:c r="F53" s="49" t="str"/>
      <x:c r="G53" s="49" t="str">
        <x:v>兰亭</x:v>
      </x:c>
      <x:c r="H53" s="37" t="n">
        <x:v>28.8</x:v>
      </x:c>
      <x:c r="I53" s="37" t="n">
        <x:v>26.7</x:v>
      </x:c>
      <x:c r="J53" s="40" t="n">
        <x:v>633</x:v>
      </x:c>
      <x:c r="K53" s="40" t="n">
        <x:v>671</x:v>
      </x:c>
      <x:c r="L53" s="40" t="n">
        <x:v>645</x:v>
      </x:c>
      <x:c r="M53" s="40" t="n">
        <x:v>510</x:v>
      </x:c>
      <x:c r="N53" s="40" t="n">
        <x:v>663</x:v>
      </x:c>
      <x:c r="O53" s="40" t="n">
        <x:v>606</x:v>
      </x:c>
      <x:c r="P53" s="40" t="n">
        <x:f>IF(COUNT(J53:O53)=0,"",SUM(J53:O53))</x:f>
        <x:v>3728</x:v>
      </x:c>
      <x:c r="Q53" s="40" t="n">
        <x:v>2237553450</x:v>
      </x:c>
      <x:c r="R53" s="40" t="n">
        <x:v>85781811</x:v>
      </x:c>
      <x:c r="S53" s="40" t="n">
        <x:v>336253108</x:v>
      </x:c>
      <x:c r="T53" s="40" t="n">
        <x:v>0</x:v>
      </x:c>
      <x:c r="U53" s="40" t="n">
        <x:v>120000</x:v>
      </x:c>
      <x:c r="V53" s="49" t="str">
        <x:v>宫阙3级</x:v>
      </x:c>
      <x:c r="W53" s="49" t="n">
        <x:v>3</x:v>
      </x:c>
      <x:c r="X53" s="52" t="n">
        <x:f>ROUND(100*(0.4*LN(1+Q53)/LN(1+MAX($Q$5:$Q$395))+0.35*R53/MAX($R$5:$R$395)+0.15*S53/MAX($S$5:$S$395)+IF(P53="",0,0.1*P53/MAX($P$5:$P$395)))/IF(P53="",0.9,1),1)</x:f>
        <x:v>74.7</x:v>
      </x:c>
      <x:c r="Y53" s="49" t="n">
        <x:f>RANK.EQ(X53,$X$5:$X$395,0)</x:f>
        <x:v>118</x:v>
      </x:c>
      <x:c r="Z53" s="34" t="str">
        <x:v>保留兰亭战斗骨干</x:v>
      </x:c>
      <x:c r="AA53" s="55"/>
    </x:row>
    <x:row r="54" ht="20" customHeight="1">
      <x:c r="A54" s="46" t="n">
        <x:v>210</x:v>
      </x:c>
      <x:c r="B54" s="27" t="str">
        <x:v>大盗老李</x:v>
      </x:c>
      <x:c r="C54" s="49" t="str">
        <x:v>兰亭</x:v>
      </x:c>
      <x:c r="D54" s="49" t="str">
        <x:v>兰亭</x:v>
      </x:c>
      <x:c r="E54" s="49" t="str">
        <x:v>留盟</x:v>
      </x:c>
      <x:c r="F54" s="49" t="str"/>
      <x:c r="G54" s="49" t="str">
        <x:v>兰亭</x:v>
      </x:c>
      <x:c r="H54" s="37" t="n">
        <x:v>28.8</x:v>
      </x:c>
      <x:c r="I54" s="37" t="n">
        <x:v>28.8</x:v>
      </x:c>
      <x:c r="J54" s="40" t="n">
        <x:v>743</x:v>
      </x:c>
      <x:c r="K54" s="40" t="n">
        <x:v>760</x:v>
      </x:c>
      <x:c r="L54" s="40" t="n">
        <x:v>722</x:v>
      </x:c>
      <x:c r="M54" s="40" t="n">
        <x:v>590</x:v>
      </x:c>
      <x:c r="N54" s="40" t="n">
        <x:v>792</x:v>
      </x:c>
      <x:c r="O54" s="40" t="n">
        <x:v>748</x:v>
      </x:c>
      <x:c r="P54" s="40" t="n">
        <x:f>IF(COUNT(J54:O54)=0,"",SUM(J54:O54))</x:f>
        <x:v>4355</x:v>
      </x:c>
      <x:c r="Q54" s="40" t="n">
        <x:v>6502326438</x:v>
      </x:c>
      <x:c r="R54" s="40" t="n">
        <x:v>79311519</x:v>
      </x:c>
      <x:c r="S54" s="40" t="n">
        <x:v>284166898</x:v>
      </x:c>
      <x:c r="T54" s="40" t="n">
        <x:v>0</x:v>
      </x:c>
      <x:c r="U54" s="40" t="n">
        <x:v>108960</x:v>
      </x:c>
      <x:c r="V54" s="49" t="str">
        <x:v>宫阙3级</x:v>
      </x:c>
      <x:c r="W54" s="49" t="n">
        <x:v>4</x:v>
      </x:c>
      <x:c r="X54" s="52" t="n">
        <x:f>ROUND(100*(0.4*LN(1+Q54)/LN(1+MAX($Q$5:$Q$395))+0.35*R54/MAX($R$5:$R$395)+0.15*S54/MAX($S$5:$S$395)+IF(P54="",0,0.1*P54/MAX($P$5:$P$395)))/IF(P54="",0.9,1),1)</x:f>
        <x:v>74.3</x:v>
      </x:c>
      <x:c r="Y54" s="49" t="n">
        <x:f>RANK.EQ(X54,$X$5:$X$395,0)</x:f>
        <x:v>121</x:v>
      </x:c>
      <x:c r="Z54" s="34" t="str">
        <x:v>保留兰亭战斗骨干</x:v>
      </x:c>
      <x:c r="AA54" s="55"/>
    </x:row>
    <x:row r="55" ht="20" customHeight="1">
      <x:c r="A55" s="46" t="n">
        <x:v>220</x:v>
      </x:c>
      <x:c r="B55" s="27" t="str">
        <x:v>云栖洛晚</x:v>
      </x:c>
      <x:c r="C55" s="49" t="str">
        <x:v>兰亭</x:v>
      </x:c>
      <x:c r="D55" s="49" t="str">
        <x:v>兰亭</x:v>
      </x:c>
      <x:c r="E55" s="49" t="str">
        <x:v>留盟</x:v>
      </x:c>
      <x:c r="F55" s="49" t="str">
        <x:v>玲珑</x:v>
      </x:c>
      <x:c r="G55" s="49" t="str">
        <x:v>兰亭</x:v>
      </x:c>
      <x:c r="H55" s="37" t="n">
        <x:v>28.3</x:v>
      </x:c>
      <x:c r="I55" s="37" t="n">
        <x:v>28.3</x:v>
      </x:c>
      <x:c r="J55" s="40" t="n">
        <x:v>830</x:v>
      </x:c>
      <x:c r="K55" s="40" t="n">
        <x:v>930</x:v>
      </x:c>
      <x:c r="L55" s="40" t="n">
        <x:v>681</x:v>
      </x:c>
      <x:c r="M55" s="40" t="n">
        <x:v>693</x:v>
      </x:c>
      <x:c r="N55" s="40" t="n">
        <x:v>800</x:v>
      </x:c>
      <x:c r="O55" s="40" t="n">
        <x:v>865</x:v>
      </x:c>
      <x:c r="P55" s="40" t="n">
        <x:f>IF(COUNT(J55:O55)=0,"",SUM(J55:O55))</x:f>
        <x:v>4799</x:v>
      </x:c>
      <x:c r="Q55" s="40" t="n">
        <x:v>5227896431</x:v>
      </x:c>
      <x:c r="R55" s="40" t="n">
        <x:v>84641732</x:v>
      </x:c>
      <x:c r="S55" s="40" t="n">
        <x:v>223055079</x:v>
      </x:c>
      <x:c r="T55" s="40" t="n">
        <x:v>0</x:v>
      </x:c>
      <x:c r="U55" s="40" t="n">
        <x:v>74880</x:v>
      </x:c>
      <x:c r="V55" s="49" t="str">
        <x:v>宫阙3级</x:v>
      </x:c>
      <x:c r="W55" s="49" t="n">
        <x:v>3</x:v>
      </x:c>
      <x:c r="X55" s="52" t="n">
        <x:f>ROUND(100*(0.4*LN(1+Q55)/LN(1+MAX($Q$5:$Q$395))+0.35*R55/MAX($R$5:$R$395)+0.15*S55/MAX($S$5:$S$395)+IF(P55="",0,0.1*P55/MAX($P$5:$P$395)))/IF(P55="",0.9,1),1)</x:f>
        <x:v>74.2</x:v>
      </x:c>
      <x:c r="Y55" s="49" t="n">
        <x:f>RANK.EQ(X55,$X$5:$X$395,0)</x:f>
        <x:v>123</x:v>
      </x:c>
      <x:c r="Z55" s="34" t="str">
        <x:v>保留兰亭战斗骨干</x:v>
      </x:c>
      <x:c r="AA55" s="55"/>
    </x:row>
    <x:row r="56" ht="20" customHeight="1">
      <x:c r="A56" s="46" t="n">
        <x:v>222</x:v>
      </x:c>
      <x:c r="B56" s="27" t="str">
        <x:v>宝可梦大师小智</x:v>
      </x:c>
      <x:c r="C56" s="49" t="str">
        <x:v>兰亭</x:v>
      </x:c>
      <x:c r="D56" s="49" t="str">
        <x:v>兰亭</x:v>
      </x:c>
      <x:c r="E56" s="49" t="str">
        <x:v>留盟</x:v>
      </x:c>
      <x:c r="F56" s="49" t="str">
        <x:v>兰亭</x:v>
      </x:c>
      <x:c r="G56" s="49" t="str">
        <x:v>兰亭</x:v>
      </x:c>
      <x:c r="H56" s="37" t="n">
        <x:v>28.8</x:v>
      </x:c>
      <x:c r="I56" s="37" t="n">
        <x:v>28.8</x:v>
      </x:c>
      <x:c r="J56" s="40" t="n">
        <x:v>757</x:v>
      </x:c>
      <x:c r="K56" s="40" t="n">
        <x:v>813</x:v>
      </x:c>
      <x:c r="L56" s="40" t="n">
        <x:v>717</x:v>
      </x:c>
      <x:c r="M56" s="40" t="n">
        <x:v>556</x:v>
      </x:c>
      <x:c r="N56" s="40" t="n">
        <x:v>736</x:v>
      </x:c>
      <x:c r="O56" s="40" t="n">
        <x:v>667</x:v>
      </x:c>
      <x:c r="P56" s="40" t="n">
        <x:f>IF(COUNT(J56:O56)=0,"",SUM(J56:O56))</x:f>
        <x:v>4246</x:v>
      </x:c>
      <x:c r="Q56" s="40" t="n">
        <x:v>5129031082</x:v>
      </x:c>
      <x:c r="R56" s="40" t="n">
        <x:v>78504032</x:v>
      </x:c>
      <x:c r="S56" s="40" t="n">
        <x:v>300827832</x:v>
      </x:c>
      <x:c r="T56" s="40" t="n">
        <x:v>0</x:v>
      </x:c>
      <x:c r="U56" s="40" t="n">
        <x:v>92160</x:v>
      </x:c>
      <x:c r="V56" s="49" t="str">
        <x:v>宫阙3级</x:v>
      </x:c>
      <x:c r="W56" s="49" t="n">
        <x:v>1</x:v>
      </x:c>
      <x:c r="X56" s="52" t="n">
        <x:f>ROUND(100*(0.4*LN(1+Q56)/LN(1+MAX($Q$5:$Q$395))+0.35*R56/MAX($R$5:$R$395)+0.15*S56/MAX($S$5:$S$395)+IF(P56="",0,0.1*P56/MAX($P$5:$P$395)))/IF(P56="",0.9,1),1)</x:f>
        <x:v>74</x:v>
      </x:c>
      <x:c r="Y56" s="49" t="n">
        <x:f>RANK.EQ(X56,$X$5:$X$395,0)</x:f>
        <x:v>126</x:v>
      </x:c>
      <x:c r="Z56" s="34" t="str">
        <x:v>保留兰亭战斗骨干</x:v>
      </x:c>
      <x:c r="AA56" s="55"/>
    </x:row>
    <x:row r="57" ht="20" customHeight="1">
      <x:c r="A57" s="46" t="n">
        <x:v>212</x:v>
      </x:c>
      <x:c r="B57" s="27" t="str">
        <x:v>龙之天蝎</x:v>
      </x:c>
      <x:c r="C57" s="49" t="str">
        <x:v>兰亭</x:v>
      </x:c>
      <x:c r="D57" s="49" t="str">
        <x:v>兰亭</x:v>
      </x:c>
      <x:c r="E57" s="49" t="str">
        <x:v>留盟</x:v>
      </x:c>
      <x:c r="F57" s="49" t="str"/>
      <x:c r="G57" s="49" t="str">
        <x:v>兰亭</x:v>
      </x:c>
      <x:c r="H57" s="37" t="n">
        <x:v>28.8</x:v>
      </x:c>
      <x:c r="I57" s="37" t="n">
        <x:v>28.8</x:v>
      </x:c>
      <x:c r="J57" s="40" t="n">
        <x:v>809</x:v>
      </x:c>
      <x:c r="K57" s="40" t="n">
        <x:v>895</x:v>
      </x:c>
      <x:c r="L57" s="40" t="n">
        <x:v>689</x:v>
      </x:c>
      <x:c r="M57" s="40" t="n">
        <x:v>590</x:v>
      </x:c>
      <x:c r="N57" s="40" t="n">
        <x:v>736</x:v>
      </x:c>
      <x:c r="O57" s="40" t="n">
        <x:v>781</x:v>
      </x:c>
      <x:c r="P57" s="40" t="n">
        <x:f>IF(COUNT(J57:O57)=0,"",SUM(J57:O57))</x:f>
        <x:v>4500</x:v>
      </x:c>
      <x:c r="Q57" s="40" t="n">
        <x:v>6190047328</x:v>
      </x:c>
      <x:c r="R57" s="40" t="n">
        <x:v>84860333</x:v>
      </x:c>
      <x:c r="S57" s="40" t="n">
        <x:v>213578568</x:v>
      </x:c>
      <x:c r="T57" s="40" t="n">
        <x:v>0</x:v>
      </x:c>
      <x:c r="U57" s="40" t="n">
        <x:v>148080</x:v>
      </x:c>
      <x:c r="V57" s="49" t="str">
        <x:v>宫阙3级</x:v>
      </x:c>
      <x:c r="W57" s="49" t="n">
        <x:v>3</x:v>
      </x:c>
      <x:c r="X57" s="52" t="n">
        <x:f>ROUND(100*(0.4*LN(1+Q57)/LN(1+MAX($Q$5:$Q$395))+0.35*R57/MAX($R$5:$R$395)+0.15*S57/MAX($S$5:$S$395)+IF(P57="",0,0.1*P57/MAX($P$5:$P$395)))/IF(P57="",0.9,1),1)</x:f>
        <x:v>73.8</x:v>
      </x:c>
      <x:c r="Y57" s="49" t="n">
        <x:f>RANK.EQ(X57,$X$5:$X$395,0)</x:f>
        <x:v>129</x:v>
      </x:c>
      <x:c r="Z57" s="34" t="str">
        <x:v>保留兰亭战斗骨干</x:v>
      </x:c>
      <x:c r="AA57" s="55"/>
    </x:row>
    <x:row r="58" ht="20" customHeight="1">
      <x:c r="A58" s="46" t="n">
        <x:v>203</x:v>
      </x:c>
      <x:c r="B58" s="27" t="str">
        <x:v>快猫儿</x:v>
      </x:c>
      <x:c r="C58" s="49" t="str">
        <x:v>兰亭</x:v>
      </x:c>
      <x:c r="D58" s="49" t="str">
        <x:v>兰亭</x:v>
      </x:c>
      <x:c r="E58" s="49" t="str">
        <x:v>留盟</x:v>
      </x:c>
      <x:c r="F58" s="49" t="str"/>
      <x:c r="G58" s="49" t="str">
        <x:v>兰亭</x:v>
      </x:c>
      <x:c r="H58" s="37" t="n">
        <x:v>28.8</x:v>
      </x:c>
      <x:c r="I58" s="37" t="n">
        <x:v>28.8</x:v>
      </x:c>
      <x:c r="J58" s="40" t="n">
        <x:v>780</x:v>
      </x:c>
      <x:c r="K58" s="40" t="n">
        <x:v>792</x:v>
      </x:c>
      <x:c r="L58" s="40" t="n">
        <x:v>677</x:v>
      </x:c>
      <x:c r="M58" s="40" t="n">
        <x:v>526</x:v>
      </x:c>
      <x:c r="N58" s="40" t="n">
        <x:v>724</x:v>
      </x:c>
      <x:c r="O58" s="40" t="n">
        <x:v>767</x:v>
      </x:c>
      <x:c r="P58" s="40" t="n">
        <x:f>IF(COUNT(J58:O58)=0,"",SUM(J58:O58))</x:f>
        <x:v>4266</x:v>
      </x:c>
      <x:c r="Q58" s="40" t="n">
        <x:v>9896267434</x:v>
      </x:c>
      <x:c r="R58" s="40" t="n">
        <x:v>78525544</x:v>
      </x:c>
      <x:c r="S58" s="40" t="n">
        <x:v>254392879</x:v>
      </x:c>
      <x:c r="T58" s="40" t="n">
        <x:v>0</x:v>
      </x:c>
      <x:c r="U58" s="40" t="n">
        <x:v>155760</x:v>
      </x:c>
      <x:c r="V58" s="49" t="str">
        <x:v>宫阙3级</x:v>
      </x:c>
      <x:c r="W58" s="49" t="n">
        <x:v>4</x:v>
      </x:c>
      <x:c r="X58" s="52" t="n">
        <x:f>ROUND(100*(0.4*LN(1+Q58)/LN(1+MAX($Q$5:$Q$395))+0.35*R58/MAX($R$5:$R$395)+0.15*S58/MAX($S$5:$S$395)+IF(P58="",0,0.1*P58/MAX($P$5:$P$395)))/IF(P58="",0.9,1),1)</x:f>
        <x:v>73.8</x:v>
      </x:c>
      <x:c r="Y58" s="49" t="n">
        <x:f>RANK.EQ(X58,$X$5:$X$395,0)</x:f>
        <x:v>129</x:v>
      </x:c>
      <x:c r="Z58" s="34" t="str">
        <x:v>保留兰亭战斗骨干</x:v>
      </x:c>
      <x:c r="AA58" s="55"/>
    </x:row>
    <x:row r="59" ht="20" customHeight="1">
      <x:c r="A59" s="46" t="n">
        <x:v>207</x:v>
      </x:c>
      <x:c r="B59" s="27" t="str">
        <x:v>南城以梦归</x:v>
      </x:c>
      <x:c r="C59" s="49" t="str">
        <x:v>兰亭</x:v>
      </x:c>
      <x:c r="D59" s="49" t="str">
        <x:v>兰亭</x:v>
      </x:c>
      <x:c r="E59" s="49" t="str">
        <x:v>留盟</x:v>
      </x:c>
      <x:c r="F59" s="49" t="str"/>
      <x:c r="G59" s="49"/>
      <x:c r="H59" s="37"/>
      <x:c r="I59" s="37"/>
      <x:c r="J59" s="40"/>
      <x:c r="K59" s="40"/>
      <x:c r="L59" s="40"/>
      <x:c r="M59" s="40"/>
      <x:c r="N59" s="40"/>
      <x:c r="O59" s="40"/>
      <x:c r="P59" s="40" t="str">
        <x:f>IF(COUNT(J59:O59)=0,"",SUM(J59:O59))</x:f>
      </x:c>
      <x:c r="Q59" s="40" t="n">
        <x:v>7680390146</x:v>
      </x:c>
      <x:c r="R59" s="40" t="n">
        <x:v>76608624</x:v>
      </x:c>
      <x:c r="S59" s="40" t="n">
        <x:v>249569386</x:v>
      </x:c>
      <x:c r="T59" s="40" t="n">
        <x:v>0</x:v>
      </x:c>
      <x:c r="U59" s="40" t="n">
        <x:v>127920</x:v>
      </x:c>
      <x:c r="V59" s="49" t="str">
        <x:v>宫阙3级</x:v>
      </x:c>
      <x:c r="W59" s="49" t="n">
        <x:v>3</x:v>
      </x:c>
      <x:c r="X59" s="52" t="n">
        <x:f>ROUND(100*(0.4*LN(1+Q59)/LN(1+MAX($Q$5:$Q$395))+0.35*R59/MAX($R$5:$R$395)+0.15*S59/MAX($S$5:$S$395)+IF(P59="",0,0.1*P59/MAX($P$5:$P$395)))/IF(P59="",0.9,1),1)</x:f>
        <x:v>73.4</x:v>
      </x:c>
      <x:c r="Y59" s="49" t="n">
        <x:f>RANK.EQ(X59,$X$5:$X$395,0)</x:f>
        <x:v>135</x:v>
      </x:c>
      <x:c r="Z59" s="34" t="str">
        <x:v>保留兰亭战斗骨干</x:v>
      </x:c>
      <x:c r="AA59" s="55" t="str">
        <x:v>六维未匹配</x:v>
      </x:c>
    </x:row>
    <x:row r="60" ht="20" customHeight="1">
      <x:c r="A60" s="46" t="n">
        <x:v>278</x:v>
      </x:c>
      <x:c r="B60" s="27" t="str">
        <x:v>北斗七星</x:v>
      </x:c>
      <x:c r="C60" s="49" t="str">
        <x:v>兰亭</x:v>
      </x:c>
      <x:c r="D60" s="49" t="str">
        <x:v>兰亭</x:v>
      </x:c>
      <x:c r="E60" s="49" t="str">
        <x:v>留盟</x:v>
      </x:c>
      <x:c r="F60" s="49" t="str"/>
      <x:c r="G60" s="49" t="str">
        <x:v>玲珑</x:v>
      </x:c>
      <x:c r="H60" s="37" t="n">
        <x:v>28.8</x:v>
      </x:c>
      <x:c r="I60" s="37" t="n">
        <x:v>28.8</x:v>
      </x:c>
      <x:c r="J60" s="40" t="n">
        <x:v>819</x:v>
      </x:c>
      <x:c r="K60" s="40" t="n">
        <x:v>881</x:v>
      </x:c>
      <x:c r="L60" s="40" t="n">
        <x:v>706</x:v>
      </x:c>
      <x:c r="M60" s="40" t="n">
        <x:v>545</x:v>
      </x:c>
      <x:c r="N60" s="40" t="n">
        <x:v>722</x:v>
      </x:c>
      <x:c r="O60" s="40" t="n">
        <x:v>732</x:v>
      </x:c>
      <x:c r="P60" s="40" t="n">
        <x:f>IF(COUNT(J60:O60)=0,"",SUM(J60:O60))</x:f>
        <x:v>4405</x:v>
      </x:c>
      <x:c r="Q60" s="40" t="n">
        <x:v>1325875523</x:v>
      </x:c>
      <x:c r="R60" s="40" t="n">
        <x:v>86065017</x:v>
      </x:c>
      <x:c r="S60" s="40" t="n">
        <x:v>281906002</x:v>
      </x:c>
      <x:c r="T60" s="40" t="n">
        <x:v>0</x:v>
      </x:c>
      <x:c r="U60" s="40" t="n">
        <x:v>90480</x:v>
      </x:c>
      <x:c r="V60" s="49" t="str">
        <x:v>宫阙3级</x:v>
      </x:c>
      <x:c r="W60" s="49" t="n">
        <x:v>4</x:v>
      </x:c>
      <x:c r="X60" s="52" t="n">
        <x:f>ROUND(100*(0.4*LN(1+Q60)/LN(1+MAX($Q$5:$Q$395))+0.35*R60/MAX($R$5:$R$395)+0.15*S60/MAX($S$5:$S$395)+IF(P60="",0,0.1*P60/MAX($P$5:$P$395)))/IF(P60="",0.9,1),1)</x:f>
        <x:v>73.3</x:v>
      </x:c>
      <x:c r="Y60" s="49" t="n">
        <x:f>RANK.EQ(X60,$X$5:$X$395,0)</x:f>
        <x:v>136</x:v>
      </x:c>
      <x:c r="Z60" s="34" t="str">
        <x:v>保留兰亭战斗骨干</x:v>
      </x:c>
      <x:c r="AA60" s="55"/>
    </x:row>
    <x:row r="61" ht="20" customHeight="1">
      <x:c r="A61" s="46" t="n">
        <x:v>218</x:v>
      </x:c>
      <x:c r="B61" s="27" t="str">
        <x:v>蒲公英的归宿</x:v>
      </x:c>
      <x:c r="C61" s="49" t="str">
        <x:v>兰亭</x:v>
      </x:c>
      <x:c r="D61" s="49" t="str">
        <x:v>兰亭</x:v>
      </x:c>
      <x:c r="E61" s="49" t="str">
        <x:v>留盟</x:v>
      </x:c>
      <x:c r="F61" s="49" t="str">
        <x:v>花晨</x:v>
      </x:c>
      <x:c r="G61" s="49" t="str">
        <x:v>兰亭</x:v>
      </x:c>
      <x:c r="H61" s="37" t="n">
        <x:v>28.8</x:v>
      </x:c>
      <x:c r="I61" s="37" t="n">
        <x:v>28.3</x:v>
      </x:c>
      <x:c r="J61" s="40" t="n">
        <x:v>732</x:v>
      </x:c>
      <x:c r="K61" s="40" t="n">
        <x:v>884</x:v>
      </x:c>
      <x:c r="L61" s="40" t="n">
        <x:v>642</x:v>
      </x:c>
      <x:c r="M61" s="40" t="n">
        <x:v>553</x:v>
      </x:c>
      <x:c r="N61" s="40" t="n">
        <x:v>710</x:v>
      </x:c>
      <x:c r="O61" s="40" t="n">
        <x:v>711</x:v>
      </x:c>
      <x:c r="P61" s="40" t="n">
        <x:f>IF(COUNT(J61:O61)=0,"",SUM(J61:O61))</x:f>
        <x:v>4232</x:v>
      </x:c>
      <x:c r="Q61" s="40" t="n">
        <x:v>5368594475</x:v>
      </x:c>
      <x:c r="R61" s="40" t="n">
        <x:v>80877670</x:v>
      </x:c>
      <x:c r="S61" s="40" t="n">
        <x:v>252868013</x:v>
      </x:c>
      <x:c r="T61" s="40" t="n">
        <x:v>0</x:v>
      </x:c>
      <x:c r="U61" s="40" t="n">
        <x:v>133200</x:v>
      </x:c>
      <x:c r="V61" s="49" t="str">
        <x:v>宫阙3级</x:v>
      </x:c>
      <x:c r="W61" s="49" t="n">
        <x:v>3</x:v>
      </x:c>
      <x:c r="X61" s="52" t="n">
        <x:f>ROUND(100*(0.4*LN(1+Q61)/LN(1+MAX($Q$5:$Q$395))+0.35*R61/MAX($R$5:$R$395)+0.15*S61/MAX($S$5:$S$395)+IF(P61="",0,0.1*P61/MAX($P$5:$P$395)))/IF(P61="",0.9,1),1)</x:f>
        <x:v>73.2</x:v>
      </x:c>
      <x:c r="Y61" s="49" t="n">
        <x:f>RANK.EQ(X61,$X$5:$X$395,0)</x:f>
        <x:v>139</x:v>
      </x:c>
      <x:c r="Z61" s="34" t="str">
        <x:v>保留兰亭战斗骨干</x:v>
      </x:c>
      <x:c r="AA61" s="55"/>
    </x:row>
    <x:row r="62" ht="20" customHeight="1">
      <x:c r="A62" s="46" t="n">
        <x:v>214</x:v>
      </x:c>
      <x:c r="B62" s="27" t="str">
        <x:v>无情的哈啦少</x:v>
      </x:c>
      <x:c r="C62" s="49" t="str">
        <x:v>兰亭</x:v>
      </x:c>
      <x:c r="D62" s="49" t="str">
        <x:v>兰亭</x:v>
      </x:c>
      <x:c r="E62" s="49" t="str">
        <x:v>留盟</x:v>
      </x:c>
      <x:c r="F62" s="49" t="str"/>
      <x:c r="G62" s="49" t="str">
        <x:v>兰亭</x:v>
      </x:c>
      <x:c r="H62" s="37" t="n">
        <x:v>25.1</x:v>
      </x:c>
      <x:c r="I62" s="37" t="n">
        <x:v>25.1</x:v>
      </x:c>
      <x:c r="J62" s="40" t="n">
        <x:v>600</x:v>
      </x:c>
      <x:c r="K62" s="40" t="n">
        <x:v>646</x:v>
      </x:c>
      <x:c r="L62" s="40" t="n">
        <x:v>579</x:v>
      </x:c>
      <x:c r="M62" s="40" t="n">
        <x:v>503</x:v>
      </x:c>
      <x:c r="N62" s="40" t="n">
        <x:v>603</x:v>
      </x:c>
      <x:c r="O62" s="40" t="n">
        <x:v>579</x:v>
      </x:c>
      <x:c r="P62" s="40" t="n">
        <x:f>IF(COUNT(J62:O62)=0,"",SUM(J62:O62))</x:f>
        <x:v>3510</x:v>
      </x:c>
      <x:c r="Q62" s="40" t="n">
        <x:v>5727953152</x:v>
      </x:c>
      <x:c r="R62" s="40" t="n">
        <x:v>80011922</x:v>
      </x:c>
      <x:c r="S62" s="40" t="n">
        <x:v>291471406</x:v>
      </x:c>
      <x:c r="T62" s="40" t="n">
        <x:v>0</x:v>
      </x:c>
      <x:c r="U62" s="40" t="n">
        <x:v>51600</x:v>
      </x:c>
      <x:c r="V62" s="49" t="str">
        <x:v>宫阙3级</x:v>
      </x:c>
      <x:c r="W62" s="49" t="n">
        <x:v>1</x:v>
      </x:c>
      <x:c r="X62" s="52" t="n">
        <x:f>ROUND(100*(0.4*LN(1+Q62)/LN(1+MAX($Q$5:$Q$395))+0.35*R62/MAX($R$5:$R$395)+0.15*S62/MAX($S$5:$S$395)+IF(P62="",0,0.1*P62/MAX($P$5:$P$395)))/IF(P62="",0.9,1),1)</x:f>
        <x:v>73.1</x:v>
      </x:c>
      <x:c r="Y62" s="49" t="n">
        <x:f>RANK.EQ(X62,$X$5:$X$395,0)</x:f>
        <x:v>141</x:v>
      </x:c>
      <x:c r="Z62" s="34" t="str">
        <x:v>保留兰亭战斗骨干</x:v>
      </x:c>
      <x:c r="AA62" s="55"/>
    </x:row>
    <x:row r="63" ht="20" customHeight="1">
      <x:c r="A63" s="46" t="n">
        <x:v>252</x:v>
      </x:c>
      <x:c r="B63" s="27" t="str">
        <x:v>天下式</x:v>
      </x:c>
      <x:c r="C63" s="49" t="str">
        <x:v>兰亭</x:v>
      </x:c>
      <x:c r="D63" s="49" t="str">
        <x:v>兰亭</x:v>
      </x:c>
      <x:c r="E63" s="49" t="str">
        <x:v>留盟</x:v>
      </x:c>
      <x:c r="F63" s="49" t="str"/>
      <x:c r="G63" s="49"/>
      <x:c r="H63" s="37"/>
      <x:c r="I63" s="37"/>
      <x:c r="J63" s="40"/>
      <x:c r="K63" s="40"/>
      <x:c r="L63" s="40"/>
      <x:c r="M63" s="40"/>
      <x:c r="N63" s="40"/>
      <x:c r="O63" s="40"/>
      <x:c r="P63" s="40" t="str">
        <x:f>IF(COUNT(J63:O63)=0,"",SUM(J63:O63))</x:f>
      </x:c>
      <x:c r="Q63" s="40" t="n">
        <x:v>3223962053</x:v>
      </x:c>
      <x:c r="R63" s="40" t="n">
        <x:v>79539330</x:v>
      </x:c>
      <x:c r="S63" s="40" t="n">
        <x:v>262635096</x:v>
      </x:c>
      <x:c r="T63" s="40" t="n">
        <x:v>0</x:v>
      </x:c>
      <x:c r="U63" s="40" t="n">
        <x:v>66000</x:v>
      </x:c>
      <x:c r="V63" s="49" t="str">
        <x:v>宫阙3级</x:v>
      </x:c>
      <x:c r="W63" s="49" t="n">
        <x:v>3</x:v>
      </x:c>
      <x:c r="X63" s="52" t="n">
        <x:f>ROUND(100*(0.4*LN(1+Q63)/LN(1+MAX($Q$5:$Q$395))+0.35*R63/MAX($R$5:$R$395)+0.15*S63/MAX($S$5:$S$395)+IF(P63="",0,0.1*P63/MAX($P$5:$P$395)))/IF(P63="",0.9,1),1)</x:f>
        <x:v>73</x:v>
      </x:c>
      <x:c r="Y63" s="49" t="n">
        <x:f>RANK.EQ(X63,$X$5:$X$395,0)</x:f>
        <x:v>145</x:v>
      </x:c>
      <x:c r="Z63" s="34" t="str">
        <x:v>保留兰亭战斗骨干</x:v>
      </x:c>
      <x:c r="AA63" s="55" t="str">
        <x:v>六维未匹配</x:v>
      </x:c>
    </x:row>
    <x:row r="64" ht="20" customHeight="1">
      <x:c r="A64" s="46" t="n">
        <x:v>211</x:v>
      </x:c>
      <x:c r="B64" s="27" t="str">
        <x:v>虎虎生威</x:v>
      </x:c>
      <x:c r="C64" s="49" t="str">
        <x:v>兰亭</x:v>
      </x:c>
      <x:c r="D64" s="49" t="str">
        <x:v>兰亭</x:v>
      </x:c>
      <x:c r="E64" s="49" t="str">
        <x:v>留盟</x:v>
      </x:c>
      <x:c r="F64" s="49" t="str"/>
      <x:c r="G64" s="49"/>
      <x:c r="H64" s="37"/>
      <x:c r="I64" s="37"/>
      <x:c r="J64" s="40"/>
      <x:c r="K64" s="40"/>
      <x:c r="L64" s="40"/>
      <x:c r="M64" s="40"/>
      <x:c r="N64" s="40"/>
      <x:c r="O64" s="40"/>
      <x:c r="P64" s="40" t="str">
        <x:f>IF(COUNT(J64:O64)=0,"",SUM(J64:O64))</x:f>
      </x:c>
      <x:c r="Q64" s="40" t="n">
        <x:v>6308228478</x:v>
      </x:c>
      <x:c r="R64" s="40" t="n">
        <x:v>75641081</x:v>
      </x:c>
      <x:c r="S64" s="40" t="n">
        <x:v>256905621</x:v>
      </x:c>
      <x:c r="T64" s="40" t="n">
        <x:v>0</x:v>
      </x:c>
      <x:c r="U64" s="40" t="n">
        <x:v>176640</x:v>
      </x:c>
      <x:c r="V64" s="49" t="str">
        <x:v>宫阙3级</x:v>
      </x:c>
      <x:c r="W64" s="49" t="n">
        <x:v>3</x:v>
      </x:c>
      <x:c r="X64" s="52" t="n">
        <x:f>ROUND(100*(0.4*LN(1+Q64)/LN(1+MAX($Q$5:$Q$395))+0.35*R64/MAX($R$5:$R$395)+0.15*S64/MAX($S$5:$S$395)+IF(P64="",0,0.1*P64/MAX($P$5:$P$395)))/IF(P64="",0.9,1),1)</x:f>
        <x:v>73</x:v>
      </x:c>
      <x:c r="Y64" s="49" t="n">
        <x:f>RANK.EQ(X64,$X$5:$X$395,0)</x:f>
        <x:v>145</x:v>
      </x:c>
      <x:c r="Z64" s="34" t="str">
        <x:v>保留兰亭战斗骨干</x:v>
      </x:c>
      <x:c r="AA64" s="55" t="str">
        <x:v>六维未匹配</x:v>
      </x:c>
    </x:row>
    <x:row r="65" ht="20" customHeight="1">
      <x:c r="A65" s="46" t="n">
        <x:v>245</x:v>
      </x:c>
      <x:c r="B65" s="27" t="str">
        <x:v>斩立决</x:v>
      </x:c>
      <x:c r="C65" s="49" t="str">
        <x:v>兰亭</x:v>
      </x:c>
      <x:c r="D65" s="49" t="str">
        <x:v>兰亭</x:v>
      </x:c>
      <x:c r="E65" s="49" t="str">
        <x:v>留盟</x:v>
      </x:c>
      <x:c r="F65" s="49" t="str">
        <x:v>玲珑</x:v>
      </x:c>
      <x:c r="G65" s="49" t="str">
        <x:v>花晨</x:v>
      </x:c>
      <x:c r="H65" s="37" t="n">
        <x:v>28.2</x:v>
      </x:c>
      <x:c r="I65" s="37" t="n">
        <x:v>26.2</x:v>
      </x:c>
      <x:c r="J65" s="40" t="n">
        <x:v>685</x:v>
      </x:c>
      <x:c r="K65" s="40" t="n">
        <x:v>724</x:v>
      </x:c>
      <x:c r="L65" s="40" t="n">
        <x:v>700</x:v>
      </x:c>
      <x:c r="M65" s="40" t="n">
        <x:v>508</x:v>
      </x:c>
      <x:c r="N65" s="40" t="n">
        <x:v>731</x:v>
      </x:c>
      <x:c r="O65" s="40" t="n">
        <x:v>608</x:v>
      </x:c>
      <x:c r="P65" s="40" t="n">
        <x:f>IF(COUNT(J65:O65)=0,"",SUM(J65:O65))</x:f>
        <x:v>3956</x:v>
      </x:c>
      <x:c r="Q65" s="40" t="n">
        <x:v>3860391990</x:v>
      </x:c>
      <x:c r="R65" s="40" t="n">
        <x:v>83951766</x:v>
      </x:c>
      <x:c r="S65" s="40" t="n">
        <x:v>248553901</x:v>
      </x:c>
      <x:c r="T65" s="40" t="n">
        <x:v>0</x:v>
      </x:c>
      <x:c r="U65" s="40" t="n">
        <x:v>140400</x:v>
      </x:c>
      <x:c r="V65" s="49" t="str">
        <x:v>宫阙3级</x:v>
      </x:c>
      <x:c r="W65" s="49" t="n">
        <x:v>3</x:v>
      </x:c>
      <x:c r="X65" s="52" t="n">
        <x:f>ROUND(100*(0.4*LN(1+Q65)/LN(1+MAX($Q$5:$Q$395))+0.35*R65/MAX($R$5:$R$395)+0.15*S65/MAX($S$5:$S$395)+IF(P65="",0,0.1*P65/MAX($P$5:$P$395)))/IF(P65="",0.9,1),1)</x:f>
        <x:v>72.9</x:v>
      </x:c>
      <x:c r="Y65" s="49" t="n">
        <x:f>RANK.EQ(X65,$X$5:$X$395,0)</x:f>
        <x:v>147</x:v>
      </x:c>
      <x:c r="Z65" s="34" t="str">
        <x:v>保留兰亭战斗骨干</x:v>
      </x:c>
      <x:c r="AA65" s="55"/>
    </x:row>
    <x:row r="66" ht="20" customHeight="1">
      <x:c r="A66" s="46" t="n">
        <x:v>209</x:v>
      </x:c>
      <x:c r="B66" s="27" t="str">
        <x:v>吕氏春秋</x:v>
      </x:c>
      <x:c r="C66" s="49" t="str">
        <x:v>兰亭</x:v>
      </x:c>
      <x:c r="D66" s="49" t="str">
        <x:v>兰亭</x:v>
      </x:c>
      <x:c r="E66" s="49" t="str">
        <x:v>留盟</x:v>
      </x:c>
      <x:c r="F66" s="49" t="str">
        <x:v>花晨</x:v>
      </x:c>
      <x:c r="G66" s="49" t="str">
        <x:v>兰亭</x:v>
      </x:c>
      <x:c r="H66" s="37" t="n">
        <x:v>27.3</x:v>
      </x:c>
      <x:c r="I66" s="37" t="n">
        <x:v>26.7</x:v>
      </x:c>
      <x:c r="J66" s="40" t="n">
        <x:v>674</x:v>
      </x:c>
      <x:c r="K66" s="40" t="n">
        <x:v>724</x:v>
      </x:c>
      <x:c r="L66" s="40" t="n">
        <x:v>733</x:v>
      </x:c>
      <x:c r="M66" s="40" t="n">
        <x:v>571</x:v>
      </x:c>
      <x:c r="N66" s="40" t="n">
        <x:v>726</x:v>
      </x:c>
      <x:c r="O66" s="40" t="n">
        <x:v>662</x:v>
      </x:c>
      <x:c r="P66" s="40" t="n">
        <x:f>IF(COUNT(J66:O66)=0,"",SUM(J66:O66))</x:f>
        <x:v>4090</x:v>
      </x:c>
      <x:c r="Q66" s="40" t="n">
        <x:v>6527535941</x:v>
      </x:c>
      <x:c r="R66" s="40" t="n">
        <x:v>78970682</x:v>
      </x:c>
      <x:c r="S66" s="40" t="n">
        <x:v>252657281</x:v>
      </x:c>
      <x:c r="T66" s="40" t="n">
        <x:v>0</x:v>
      </x:c>
      <x:c r="U66" s="40" t="n">
        <x:v>140400</x:v>
      </x:c>
      <x:c r="V66" s="49" t="str">
        <x:v>宫阙3级</x:v>
      </x:c>
      <x:c r="W66" s="49" t="n">
        <x:v>3</x:v>
      </x:c>
      <x:c r="X66" s="52" t="n">
        <x:f>ROUND(100*(0.4*LN(1+Q66)/LN(1+MAX($Q$5:$Q$395))+0.35*R66/MAX($R$5:$R$395)+0.15*S66/MAX($S$5:$S$395)+IF(P66="",0,0.1*P66/MAX($P$5:$P$395)))/IF(P66="",0.9,1),1)</x:f>
        <x:v>72.9</x:v>
      </x:c>
      <x:c r="Y66" s="49" t="n">
        <x:f>RANK.EQ(X66,$X$5:$X$395,0)</x:f>
        <x:v>147</x:v>
      </x:c>
      <x:c r="Z66" s="34" t="str">
        <x:v>保留兰亭战斗骨干</x:v>
      </x:c>
      <x:c r="AA66" s="55"/>
    </x:row>
    <x:row r="67" ht="20" customHeight="1">
      <x:c r="A67" s="46" t="n">
        <x:v>260</x:v>
      </x:c>
      <x:c r="B67" s="27" t="str">
        <x:v>人间草木</x:v>
      </x:c>
      <x:c r="C67" s="49" t="str">
        <x:v>兰亭</x:v>
      </x:c>
      <x:c r="D67" s="49" t="str">
        <x:v>兰亭</x:v>
      </x:c>
      <x:c r="E67" s="49" t="str">
        <x:v>留盟</x:v>
      </x:c>
      <x:c r="F67" s="49" t="str"/>
      <x:c r="G67" s="49"/>
      <x:c r="H67" s="37"/>
      <x:c r="I67" s="37"/>
      <x:c r="J67" s="40"/>
      <x:c r="K67" s="40"/>
      <x:c r="L67" s="40"/>
      <x:c r="M67" s="40"/>
      <x:c r="N67" s="40"/>
      <x:c r="O67" s="40"/>
      <x:c r="P67" s="40" t="str">
        <x:f>IF(COUNT(J67:O67)=0,"",SUM(J67:O67))</x:f>
      </x:c>
      <x:c r="Q67" s="40" t="n">
        <x:v>2904947202</x:v>
      </x:c>
      <x:c r="R67" s="40" t="n">
        <x:v>78824778</x:v>
      </x:c>
      <x:c r="S67" s="40" t="n">
        <x:v>265127282</x:v>
      </x:c>
      <x:c r="T67" s="40" t="n">
        <x:v>0</x:v>
      </x:c>
      <x:c r="U67" s="40" t="n">
        <x:v>142080</x:v>
      </x:c>
      <x:c r="V67" s="49" t="str">
        <x:v>宫阙3级</x:v>
      </x:c>
      <x:c r="W67" s="49" t="n">
        <x:v>3</x:v>
      </x:c>
      <x:c r="X67" s="52" t="n">
        <x:f>ROUND(100*(0.4*LN(1+Q67)/LN(1+MAX($Q$5:$Q$395))+0.35*R67/MAX($R$5:$R$395)+0.15*S67/MAX($S$5:$S$395)+IF(P67="",0,0.1*P67/MAX($P$5:$P$395)))/IF(P67="",0.9,1),1)</x:f>
        <x:v>72.7</x:v>
      </x:c>
      <x:c r="Y67" s="49" t="n">
        <x:f>RANK.EQ(X67,$X$5:$X$395,0)</x:f>
        <x:v>150</x:v>
      </x:c>
      <x:c r="Z67" s="34" t="str">
        <x:v>保留兰亭战斗骨干</x:v>
      </x:c>
      <x:c r="AA67" s="55" t="str">
        <x:v>六维未匹配</x:v>
      </x:c>
    </x:row>
    <x:row r="68" ht="20" customHeight="1">
      <x:c r="A68" s="46" t="n">
        <x:v>253</x:v>
      </x:c>
      <x:c r="B68" s="27" t="str">
        <x:v>青柠檬不酸</x:v>
      </x:c>
      <x:c r="C68" s="49" t="str">
        <x:v>兰亭</x:v>
      </x:c>
      <x:c r="D68" s="49" t="str">
        <x:v>兰亭</x:v>
      </x:c>
      <x:c r="E68" s="49" t="str">
        <x:v>留盟</x:v>
      </x:c>
      <x:c r="F68" s="49" t="str"/>
      <x:c r="G68" s="49"/>
      <x:c r="H68" s="37" t="n">
        <x:v>28.8</x:v>
      </x:c>
      <x:c r="I68" s="37" t="n">
        <x:v>28.8</x:v>
      </x:c>
      <x:c r="J68" s="40" t="n">
        <x:v>777</x:v>
      </x:c>
      <x:c r="K68" s="40" t="n">
        <x:v>739</x:v>
      </x:c>
      <x:c r="L68" s="40" t="n">
        <x:v>677</x:v>
      </x:c>
      <x:c r="M68" s="40" t="n">
        <x:v>494</x:v>
      </x:c>
      <x:c r="N68" s="40" t="n">
        <x:v>734</x:v>
      </x:c>
      <x:c r="O68" s="40" t="n">
        <x:v>747</x:v>
      </x:c>
      <x:c r="P68" s="40" t="n">
        <x:f>IF(COUNT(J68:O68)=0,"",SUM(J68:O68))</x:f>
        <x:v>4168</x:v>
      </x:c>
      <x:c r="Q68" s="40" t="n">
        <x:v>3165024899</x:v>
      </x:c>
      <x:c r="R68" s="40" t="n">
        <x:v>82965496</x:v>
      </x:c>
      <x:c r="S68" s="40" t="n">
        <x:v>238028140</x:v>
      </x:c>
      <x:c r="T68" s="40" t="n">
        <x:v>0</x:v>
      </x:c>
      <x:c r="U68" s="40" t="n">
        <x:v>133920</x:v>
      </x:c>
      <x:c r="V68" s="49" t="str">
        <x:v>宫阙3级</x:v>
      </x:c>
      <x:c r="W68" s="49" t="n">
        <x:v>3</x:v>
      </x:c>
      <x:c r="X68" s="52" t="n">
        <x:f>ROUND(100*(0.4*LN(1+Q68)/LN(1+MAX($Q$5:$Q$395))+0.35*R68/MAX($R$5:$R$395)+0.15*S68/MAX($S$5:$S$395)+IF(P68="",0,0.1*P68/MAX($P$5:$P$395)))/IF(P68="",0.9,1),1)</x:f>
        <x:v>72.3</x:v>
      </x:c>
      <x:c r="Y68" s="49" t="n">
        <x:f>RANK.EQ(X68,$X$5:$X$395,0)</x:f>
        <x:v>156</x:v>
      </x:c>
      <x:c r="Z68" s="34" t="str">
        <x:v>保留兰亭战斗骨干</x:v>
      </x:c>
      <x:c r="AA68" s="55"/>
    </x:row>
    <x:row r="69" ht="20" customHeight="1">
      <x:c r="A69" s="46" t="n">
        <x:v>234</x:v>
      </x:c>
      <x:c r="B69" s="27" t="str">
        <x:v>以澄666</x:v>
      </x:c>
      <x:c r="C69" s="49" t="str">
        <x:v>兰亭</x:v>
      </x:c>
      <x:c r="D69" s="49" t="str">
        <x:v>兰亭</x:v>
      </x:c>
      <x:c r="E69" s="49" t="str">
        <x:v>留盟</x:v>
      </x:c>
      <x:c r="F69" s="49" t="str">
        <x:v>玲珑</x:v>
      </x:c>
      <x:c r="G69" s="49"/>
      <x:c r="H69" s="37"/>
      <x:c r="I69" s="37"/>
      <x:c r="J69" s="40"/>
      <x:c r="K69" s="40"/>
      <x:c r="L69" s="40"/>
      <x:c r="M69" s="40"/>
      <x:c r="N69" s="40"/>
      <x:c r="O69" s="40"/>
      <x:c r="P69" s="40" t="str">
        <x:f>IF(COUNT(J69:O69)=0,"",SUM(J69:O69))</x:f>
      </x:c>
      <x:c r="Q69" s="40" t="n">
        <x:v>4423774052</x:v>
      </x:c>
      <x:c r="R69" s="40" t="n">
        <x:v>74644141</x:v>
      </x:c>
      <x:c r="S69" s="40" t="n">
        <x:v>263657557</x:v>
      </x:c>
      <x:c r="T69" s="40" t="n">
        <x:v>0</x:v>
      </x:c>
      <x:c r="U69" s="40" t="n">
        <x:v>111360</x:v>
      </x:c>
      <x:c r="V69" s="49" t="str">
        <x:v>宫阙3级</x:v>
      </x:c>
      <x:c r="W69" s="49" t="n">
        <x:v>3</x:v>
      </x:c>
      <x:c r="X69" s="52" t="n">
        <x:f>ROUND(100*(0.4*LN(1+Q69)/LN(1+MAX($Q$5:$Q$395))+0.35*R69/MAX($R$5:$R$395)+0.15*S69/MAX($S$5:$S$395)+IF(P69="",0,0.1*P69/MAX($P$5:$P$395)))/IF(P69="",0.9,1),1)</x:f>
        <x:v>72.2</x:v>
      </x:c>
      <x:c r="Y69" s="49" t="n">
        <x:f>RANK.EQ(X69,$X$5:$X$395,0)</x:f>
        <x:v>158</x:v>
      </x:c>
      <x:c r="Z69" s="34" t="str">
        <x:v>保留兰亭战斗骨干</x:v>
      </x:c>
      <x:c r="AA69" s="55" t="str">
        <x:v>六维未匹配</x:v>
      </x:c>
    </x:row>
    <x:row r="70" ht="20" customHeight="1">
      <x:c r="A70" s="46" t="n">
        <x:v>290</x:v>
      </x:c>
      <x:c r="B70" s="27" t="str">
        <x:v>茶茶呀</x:v>
      </x:c>
      <x:c r="C70" s="49" t="str">
        <x:v>兰亭</x:v>
      </x:c>
      <x:c r="D70" s="49" t="str">
        <x:v>兰亭</x:v>
      </x:c>
      <x:c r="E70" s="49" t="str">
        <x:v>留盟</x:v>
      </x:c>
      <x:c r="F70" s="49" t="str">
        <x:v>玲珑</x:v>
      </x:c>
      <x:c r="G70" s="49" t="str">
        <x:v>兰亭</x:v>
      </x:c>
      <x:c r="H70" s="37" t="n">
        <x:v>27.8</x:v>
      </x:c>
      <x:c r="I70" s="37" t="n">
        <x:v>27.8</x:v>
      </x:c>
      <x:c r="J70" s="40" t="n">
        <x:v>779</x:v>
      </x:c>
      <x:c r="K70" s="40" t="n">
        <x:v>782</x:v>
      </x:c>
      <x:c r="L70" s="40" t="n">
        <x:v>710</x:v>
      </x:c>
      <x:c r="M70" s="40" t="n">
        <x:v>601</x:v>
      </x:c>
      <x:c r="N70" s="40" t="n">
        <x:v>783</x:v>
      </x:c>
      <x:c r="O70" s="40" t="n">
        <x:v>696</x:v>
      </x:c>
      <x:c r="P70" s="40" t="n">
        <x:f>IF(COUNT(J70:O70)=0,"",SUM(J70:O70))</x:f>
        <x:v>4351</x:v>
      </x:c>
      <x:c r="Q70" s="40" t="n">
        <x:v>418495710</x:v>
      </x:c>
      <x:c r="R70" s="40" t="n">
        <x:v>89349811</x:v>
      </x:c>
      <x:c r="S70" s="40" t="n">
        <x:v>284611651</x:v>
      </x:c>
      <x:c r="T70" s="40" t="n">
        <x:v>0</x:v>
      </x:c>
      <x:c r="U70" s="40" t="n">
        <x:v>163440</x:v>
      </x:c>
      <x:c r="V70" s="49" t="str">
        <x:v>宫阙3级</x:v>
      </x:c>
      <x:c r="W70" s="49" t="n">
        <x:v>3</x:v>
      </x:c>
      <x:c r="X70" s="52" t="n">
        <x:f>ROUND(100*(0.4*LN(1+Q70)/LN(1+MAX($Q$5:$Q$395))+0.35*R70/MAX($R$5:$R$395)+0.15*S70/MAX($S$5:$S$395)+IF(P70="",0,0.1*P70/MAX($P$5:$P$395)))/IF(P70="",0.9,1),1)</x:f>
        <x:v>72.2</x:v>
      </x:c>
      <x:c r="Y70" s="49" t="n">
        <x:f>RANK.EQ(X70,$X$5:$X$395,0)</x:f>
        <x:v>158</x:v>
      </x:c>
      <x:c r="Z70" s="34" t="str">
        <x:v>保留兰亭战斗骨干</x:v>
      </x:c>
      <x:c r="AA70" s="55" t="str">
        <x:v>名称对应：荼荼呀</x:v>
      </x:c>
    </x:row>
    <x:row r="71" ht="20" customHeight="1">
      <x:c r="A71" s="46" t="n">
        <x:v>272</x:v>
      </x:c>
      <x:c r="B71" s="27" t="str">
        <x:v>沐月听风</x:v>
      </x:c>
      <x:c r="C71" s="49" t="str">
        <x:v>兰亭</x:v>
      </x:c>
      <x:c r="D71" s="49" t="str">
        <x:v>兰亭</x:v>
      </x:c>
      <x:c r="E71" s="49" t="str">
        <x:v>留盟</x:v>
      </x:c>
      <x:c r="F71" s="49" t="str">
        <x:v>玲珑</x:v>
      </x:c>
      <x:c r="G71" s="49"/>
      <x:c r="H71" s="37"/>
      <x:c r="I71" s="37"/>
      <x:c r="J71" s="40"/>
      <x:c r="K71" s="40"/>
      <x:c r="L71" s="40"/>
      <x:c r="M71" s="40"/>
      <x:c r="N71" s="40"/>
      <x:c r="O71" s="40"/>
      <x:c r="P71" s="40" t="str">
        <x:f>IF(COUNT(J71:O71)=0,"",SUM(J71:O71))</x:f>
      </x:c>
      <x:c r="Q71" s="40" t="n">
        <x:v>1904791520</x:v>
      </x:c>
      <x:c r="R71" s="40" t="n">
        <x:v>80584240</x:v>
      </x:c>
      <x:c r="S71" s="40" t="n">
        <x:v>254736455</x:v>
      </x:c>
      <x:c r="T71" s="40" t="n">
        <x:v>0</x:v>
      </x:c>
      <x:c r="U71" s="40" t="n">
        <x:v>114480</x:v>
      </x:c>
      <x:c r="V71" s="49" t="str">
        <x:v>宫阙3级</x:v>
      </x:c>
      <x:c r="W71" s="49" t="n">
        <x:v>3</x:v>
      </x:c>
      <x:c r="X71" s="52" t="n">
        <x:f>ROUND(100*(0.4*LN(1+Q71)/LN(1+MAX($Q$5:$Q$395))+0.35*R71/MAX($R$5:$R$395)+0.15*S71/MAX($S$5:$S$395)+IF(P71="",0,0.1*P71/MAX($P$5:$P$395)))/IF(P71="",0.9,1),1)</x:f>
        <x:v>72</x:v>
      </x:c>
      <x:c r="Y71" s="49" t="n">
        <x:f>RANK.EQ(X71,$X$5:$X$395,0)</x:f>
        <x:v>164</x:v>
      </x:c>
      <x:c r="Z71" s="34" t="str">
        <x:v>保留兰亭战斗骨干</x:v>
      </x:c>
      <x:c r="AA71" s="55" t="str">
        <x:v>六维未匹配</x:v>
      </x:c>
    </x:row>
    <x:row r="72" ht="20" customHeight="1">
      <x:c r="A72" s="46" t="n">
        <x:v>231</x:v>
      </x:c>
      <x:c r="B72" s="27" t="str">
        <x:v>成都奥园岑老师</x:v>
      </x:c>
      <x:c r="C72" s="49" t="str">
        <x:v>兰亭</x:v>
      </x:c>
      <x:c r="D72" s="49" t="str">
        <x:v>兰亭</x:v>
      </x:c>
      <x:c r="E72" s="49" t="str">
        <x:v>留盟</x:v>
      </x:c>
      <x:c r="F72" s="49" t="str"/>
      <x:c r="G72" s="49"/>
      <x:c r="H72" s="37"/>
      <x:c r="I72" s="37"/>
      <x:c r="J72" s="40"/>
      <x:c r="K72" s="40"/>
      <x:c r="L72" s="40"/>
      <x:c r="M72" s="40"/>
      <x:c r="N72" s="40"/>
      <x:c r="O72" s="40"/>
      <x:c r="P72" s="40" t="str">
        <x:f>IF(COUNT(J72:O72)=0,"",SUM(J72:O72))</x:f>
      </x:c>
      <x:c r="Q72" s="40" t="n">
        <x:v>4543565048</x:v>
      </x:c>
      <x:c r="R72" s="40" t="n">
        <x:v>78795031</x:v>
      </x:c>
      <x:c r="S72" s="40" t="n">
        <x:v>219362016</x:v>
      </x:c>
      <x:c r="T72" s="40" t="n">
        <x:v>0</x:v>
      </x:c>
      <x:c r="U72" s="40" t="n">
        <x:v>153600</x:v>
      </x:c>
      <x:c r="V72" s="49" t="str">
        <x:v>宫阙3级</x:v>
      </x:c>
      <x:c r="W72" s="49" t="n">
        <x:v>3</x:v>
      </x:c>
      <x:c r="X72" s="52" t="n">
        <x:f>ROUND(100*(0.4*LN(1+Q72)/LN(1+MAX($Q$5:$Q$395))+0.35*R72/MAX($R$5:$R$395)+0.15*S72/MAX($S$5:$S$395)+IF(P72="",0,0.1*P72/MAX($P$5:$P$395)))/IF(P72="",0.9,1),1)</x:f>
        <x:v>72</x:v>
      </x:c>
      <x:c r="Y72" s="49" t="n">
        <x:f>RANK.EQ(X72,$X$5:$X$395,0)</x:f>
        <x:v>164</x:v>
      </x:c>
      <x:c r="Z72" s="34" t="str">
        <x:v>保留兰亭战斗骨干</x:v>
      </x:c>
      <x:c r="AA72" s="55" t="str">
        <x:v>六维未匹配</x:v>
      </x:c>
    </x:row>
    <x:row r="73" ht="20" customHeight="1">
      <x:c r="A73" s="46" t="n">
        <x:v>221</x:v>
      </x:c>
      <x:c r="B73" s="27" t="str">
        <x:v>梦中有你</x:v>
      </x:c>
      <x:c r="C73" s="49" t="str">
        <x:v>兰亭</x:v>
      </x:c>
      <x:c r="D73" s="49" t="str">
        <x:v>兰亭</x:v>
      </x:c>
      <x:c r="E73" s="49" t="str">
        <x:v>留盟</x:v>
      </x:c>
      <x:c r="F73" s="49" t="str"/>
      <x:c r="G73" s="49" t="str">
        <x:v>兰亭</x:v>
      </x:c>
      <x:c r="H73" s="37" t="n">
        <x:v>28.2</x:v>
      </x:c>
      <x:c r="I73" s="37" t="n">
        <x:v>28.2</x:v>
      </x:c>
      <x:c r="J73" s="40" t="n">
        <x:v>696</x:v>
      </x:c>
      <x:c r="K73" s="40" t="n">
        <x:v>657</x:v>
      </x:c>
      <x:c r="L73" s="40" t="n">
        <x:v>615</x:v>
      </x:c>
      <x:c r="M73" s="40" t="n">
        <x:v>480</x:v>
      </x:c>
      <x:c r="N73" s="40" t="n">
        <x:v>686</x:v>
      </x:c>
      <x:c r="O73" s="40" t="n">
        <x:v>586</x:v>
      </x:c>
      <x:c r="P73" s="40" t="n">
        <x:f>IF(COUNT(J73:O73)=0,"",SUM(J73:O73))</x:f>
        <x:v>3720</x:v>
      </x:c>
      <x:c r="Q73" s="40" t="n">
        <x:v>5149354801</x:v>
      </x:c>
      <x:c r="R73" s="40" t="n">
        <x:v>79061189</x:v>
      </x:c>
      <x:c r="S73" s="40" t="n">
        <x:v>256050619</x:v>
      </x:c>
      <x:c r="T73" s="40" t="n">
        <x:v>0</x:v>
      </x:c>
      <x:c r="U73" s="40" t="n">
        <x:v>90720</x:v>
      </x:c>
      <x:c r="V73" s="49" t="str">
        <x:v>宫阙3级</x:v>
      </x:c>
      <x:c r="W73" s="49" t="n">
        <x:v>3</x:v>
      </x:c>
      <x:c r="X73" s="52" t="n">
        <x:f>ROUND(100*(0.4*LN(1+Q73)/LN(1+MAX($Q$5:$Q$395))+0.35*R73/MAX($R$5:$R$395)+0.15*S73/MAX($S$5:$S$395)+IF(P73="",0,0.1*P73/MAX($P$5:$P$395)))/IF(P73="",0.9,1),1)</x:f>
        <x:v>72</x:v>
      </x:c>
      <x:c r="Y73" s="49" t="n">
        <x:f>RANK.EQ(X73,$X$5:$X$395,0)</x:f>
        <x:v>164</x:v>
      </x:c>
      <x:c r="Z73" s="34" t="str">
        <x:v>保留兰亭战斗骨干</x:v>
      </x:c>
      <x:c r="AA73" s="55"/>
    </x:row>
    <x:row r="74" ht="20" customHeight="1">
      <x:c r="A74" s="46" t="n">
        <x:v>229</x:v>
      </x:c>
      <x:c r="B74" s="27" t="str">
        <x:v>南宫婉</x:v>
      </x:c>
      <x:c r="C74" s="49" t="str">
        <x:v>兰亭</x:v>
      </x:c>
      <x:c r="D74" s="49" t="str">
        <x:v>兰亭</x:v>
      </x:c>
      <x:c r="E74" s="49" t="str">
        <x:v>留盟</x:v>
      </x:c>
      <x:c r="F74" s="49" t="str"/>
      <x:c r="G74" s="49" t="str">
        <x:v>兰亭</x:v>
      </x:c>
      <x:c r="H74" s="37" t="n">
        <x:v>26.3</x:v>
      </x:c>
      <x:c r="I74" s="37" t="n">
        <x:v>22.5</x:v>
      </x:c>
      <x:c r="J74" s="40" t="n">
        <x:v>660</x:v>
      </x:c>
      <x:c r="K74" s="40" t="n">
        <x:v>632</x:v>
      </x:c>
      <x:c r="L74" s="40" t="n">
        <x:v>598</x:v>
      </x:c>
      <x:c r="M74" s="40" t="n">
        <x:v>478</x:v>
      </x:c>
      <x:c r="N74" s="40" t="n">
        <x:v>764</x:v>
      </x:c>
      <x:c r="O74" s="40" t="n">
        <x:v>734</x:v>
      </x:c>
      <x:c r="P74" s="40" t="n">
        <x:f>IF(COUNT(J74:O74)=0,"",SUM(J74:O74))</x:f>
        <x:v>3866</x:v>
      </x:c>
      <x:c r="Q74" s="40" t="n">
        <x:v>4633055969</x:v>
      </x:c>
      <x:c r="R74" s="40" t="n">
        <x:v>79358335</x:v>
      </x:c>
      <x:c r="S74" s="40" t="n">
        <x:v>236919236</x:v>
      </x:c>
      <x:c r="T74" s="40" t="n">
        <x:v>0</x:v>
      </x:c>
      <x:c r="U74" s="40" t="n">
        <x:v>169920</x:v>
      </x:c>
      <x:c r="V74" s="49" t="str">
        <x:v>宫阙3级</x:v>
      </x:c>
      <x:c r="W74" s="49" t="n">
        <x:v>3</x:v>
      </x:c>
      <x:c r="X74" s="52" t="n">
        <x:f>ROUND(100*(0.4*LN(1+Q74)/LN(1+MAX($Q$5:$Q$395))+0.35*R74/MAX($R$5:$R$395)+0.15*S74/MAX($S$5:$S$395)+IF(P74="",0,0.1*P74/MAX($P$5:$P$395)))/IF(P74="",0.9,1),1)</x:f>
        <x:v>71.6</x:v>
      </x:c>
      <x:c r="Y74" s="49" t="n">
        <x:f>RANK.EQ(X74,$X$5:$X$395,0)</x:f>
        <x:v>174</x:v>
      </x:c>
      <x:c r="Z74" s="34" t="str">
        <x:v>保留兰亭战斗骨干</x:v>
      </x:c>
      <x:c r="AA74" s="55"/>
    </x:row>
    <x:row r="75" ht="20" customHeight="1">
      <x:c r="A75" s="46" t="n">
        <x:v>239</x:v>
      </x:c>
      <x:c r="B75" s="27" t="str">
        <x:v>我是谁123</x:v>
      </x:c>
      <x:c r="C75" s="49" t="str">
        <x:v>兰亭</x:v>
      </x:c>
      <x:c r="D75" s="49" t="str">
        <x:v>兰亭</x:v>
      </x:c>
      <x:c r="E75" s="49" t="str">
        <x:v>留盟</x:v>
      </x:c>
      <x:c r="F75" s="49" t="str"/>
      <x:c r="G75" s="49"/>
      <x:c r="H75" s="37"/>
      <x:c r="I75" s="37"/>
      <x:c r="J75" s="40"/>
      <x:c r="K75" s="40"/>
      <x:c r="L75" s="40"/>
      <x:c r="M75" s="40"/>
      <x:c r="N75" s="40"/>
      <x:c r="O75" s="40"/>
      <x:c r="P75" s="40" t="str">
        <x:f>IF(COUNT(J75:O75)=0,"",SUM(J75:O75))</x:f>
      </x:c>
      <x:c r="Q75" s="40" t="n">
        <x:v>4124147351</x:v>
      </x:c>
      <x:c r="R75" s="40" t="n">
        <x:v>73994058</x:v>
      </x:c>
      <x:c r="S75" s="40" t="n">
        <x:v>251117904</x:v>
      </x:c>
      <x:c r="T75" s="40" t="n">
        <x:v>0</x:v>
      </x:c>
      <x:c r="U75" s="40" t="n">
        <x:v>126720</x:v>
      </x:c>
      <x:c r="V75" s="49" t="str">
        <x:v>宫阙3级</x:v>
      </x:c>
      <x:c r="W75" s="49" t="n">
        <x:v>1</x:v>
      </x:c>
      <x:c r="X75" s="52" t="n">
        <x:f>ROUND(100*(0.4*LN(1+Q75)/LN(1+MAX($Q$5:$Q$395))+0.35*R75/MAX($R$5:$R$395)+0.15*S75/MAX($S$5:$S$395)+IF(P75="",0,0.1*P75/MAX($P$5:$P$395)))/IF(P75="",0.9,1),1)</x:f>
        <x:v>71.5</x:v>
      </x:c>
      <x:c r="Y75" s="49" t="n">
        <x:f>RANK.EQ(X75,$X$5:$X$395,0)</x:f>
        <x:v>177</x:v>
      </x:c>
      <x:c r="Z75" s="34" t="str">
        <x:v>保留兰亭战斗骨干</x:v>
      </x:c>
      <x:c r="AA75" s="55" t="str">
        <x:v>六维未匹配</x:v>
      </x:c>
    </x:row>
    <x:row r="76" ht="20" customHeight="1">
      <x:c r="A76" s="46" t="n">
        <x:v>250</x:v>
      </x:c>
      <x:c r="B76" s="27" t="str">
        <x:v>闷骚的文海</x:v>
      </x:c>
      <x:c r="C76" s="49" t="str">
        <x:v>兰亭</x:v>
      </x:c>
      <x:c r="D76" s="49" t="str">
        <x:v>兰亭</x:v>
      </x:c>
      <x:c r="E76" s="49" t="str">
        <x:v>留盟</x:v>
      </x:c>
      <x:c r="F76" s="49" t="str"/>
      <x:c r="G76" s="49" t="str">
        <x:v>兰亭</x:v>
      </x:c>
      <x:c r="H76" s="37" t="n">
        <x:v>26.7</x:v>
      </x:c>
      <x:c r="I76" s="37" t="n">
        <x:v>26.7</x:v>
      </x:c>
      <x:c r="J76" s="40" t="n">
        <x:v>755</x:v>
      </x:c>
      <x:c r="K76" s="40" t="n">
        <x:v>942</x:v>
      </x:c>
      <x:c r="L76" s="40" t="n">
        <x:v>690</x:v>
      </x:c>
      <x:c r="M76" s="40" t="n">
        <x:v>446</x:v>
      </x:c>
      <x:c r="N76" s="40" t="n">
        <x:v>791</x:v>
      </x:c>
      <x:c r="O76" s="40" t="n">
        <x:v>776</x:v>
      </x:c>
      <x:c r="P76" s="40" t="n">
        <x:f>IF(COUNT(J76:O76)=0,"",SUM(J76:O76))</x:f>
        <x:v>4400</x:v>
      </x:c>
      <x:c r="Q76" s="40" t="n">
        <x:v>3406426280</x:v>
      </x:c>
      <x:c r="R76" s="40" t="n">
        <x:v>74820443</x:v>
      </x:c>
      <x:c r="S76" s="40" t="n">
        <x:v>257079542</x:v>
      </x:c>
      <x:c r="T76" s="40" t="n">
        <x:v>0</x:v>
      </x:c>
      <x:c r="U76" s="40" t="n">
        <x:v>104640</x:v>
      </x:c>
      <x:c r="V76" s="49" t="str">
        <x:v>宫阙3级</x:v>
      </x:c>
      <x:c r="W76" s="49" t="n">
        <x:v>1</x:v>
      </x:c>
      <x:c r="X76" s="52" t="n">
        <x:f>ROUND(100*(0.4*LN(1+Q76)/LN(1+MAX($Q$5:$Q$395))+0.35*R76/MAX($R$5:$R$395)+0.15*S76/MAX($S$5:$S$395)+IF(P76="",0,0.1*P76/MAX($P$5:$P$395)))/IF(P76="",0.9,1),1)</x:f>
        <x:v>71.3</x:v>
      </x:c>
      <x:c r="Y76" s="49" t="n">
        <x:f>RANK.EQ(X76,$X$5:$X$395,0)</x:f>
        <x:v>181</x:v>
      </x:c>
      <x:c r="Z76" s="34" t="str">
        <x:v>保留兰亭战斗骨干</x:v>
      </x:c>
      <x:c r="AA76" s="55" t="str">
        <x:v>名称对应：缘落文海</x:v>
      </x:c>
    </x:row>
    <x:row r="77" ht="20" customHeight="1">
      <x:c r="A77" s="46" t="n">
        <x:v>237</x:v>
      </x:c>
      <x:c r="B77" s="27" t="str">
        <x:v>流星殿主</x:v>
      </x:c>
      <x:c r="C77" s="49" t="str">
        <x:v>兰亭</x:v>
      </x:c>
      <x:c r="D77" s="49" t="str">
        <x:v>兰亭</x:v>
      </x:c>
      <x:c r="E77" s="49" t="str">
        <x:v>留盟</x:v>
      </x:c>
      <x:c r="F77" s="49" t="str"/>
      <x:c r="G77" s="49" t="str">
        <x:v>兰亭</x:v>
      </x:c>
      <x:c r="H77" s="37" t="n">
        <x:v>28</x:v>
      </x:c>
      <x:c r="I77" s="37" t="n">
        <x:v>28</x:v>
      </x:c>
      <x:c r="J77" s="40" t="n">
        <x:v>650</x:v>
      </x:c>
      <x:c r="K77" s="40" t="n">
        <x:v>650</x:v>
      </x:c>
      <x:c r="L77" s="40" t="n">
        <x:v>600</x:v>
      </x:c>
      <x:c r="M77" s="40" t="n">
        <x:v>600</x:v>
      </x:c>
      <x:c r="N77" s="40" t="n">
        <x:v>650</x:v>
      </x:c>
      <x:c r="O77" s="40" t="n">
        <x:v>650</x:v>
      </x:c>
      <x:c r="P77" s="40" t="n">
        <x:f>IF(COUNT(J77:O77)=0,"",SUM(J77:O77))</x:f>
        <x:v>3800</x:v>
      </x:c>
      <x:c r="Q77" s="40" t="n">
        <x:v>4245440754</x:v>
      </x:c>
      <x:c r="R77" s="40" t="n">
        <x:v>80746125</x:v>
      </x:c>
      <x:c r="S77" s="40" t="n">
        <x:v>216941910</x:v>
      </x:c>
      <x:c r="T77" s="40" t="n">
        <x:v>0</x:v>
      </x:c>
      <x:c r="U77" s="40" t="n">
        <x:v>94800</x:v>
      </x:c>
      <x:c r="V77" s="49" t="str">
        <x:v>宫阙3级</x:v>
      </x:c>
      <x:c r="W77" s="49" t="n">
        <x:v>1</x:v>
      </x:c>
      <x:c r="X77" s="52" t="n">
        <x:f>ROUND(100*(0.4*LN(1+Q77)/LN(1+MAX($Q$5:$Q$395))+0.35*R77/MAX($R$5:$R$395)+0.15*S77/MAX($S$5:$S$395)+IF(P77="",0,0.1*P77/MAX($P$5:$P$395)))/IF(P77="",0.9,1),1)</x:f>
        <x:v>71.1</x:v>
      </x:c>
      <x:c r="Y77" s="49" t="n">
        <x:f>RANK.EQ(X77,$X$5:$X$395,0)</x:f>
        <x:v>186</x:v>
      </x:c>
      <x:c r="Z77" s="34" t="str">
        <x:v>保留兰亭战斗骨干</x:v>
      </x:c>
      <x:c r="AA77" s="55"/>
    </x:row>
    <x:row r="78" ht="20" customHeight="1">
      <x:c r="A78" s="46" t="n">
        <x:v>269</x:v>
      </x:c>
      <x:c r="B78" s="27" t="str">
        <x:v>云起龙骧</x:v>
      </x:c>
      <x:c r="C78" s="49" t="str">
        <x:v>兰亭</x:v>
      </x:c>
      <x:c r="D78" s="49" t="str">
        <x:v>兰亭</x:v>
      </x:c>
      <x:c r="E78" s="49" t="str">
        <x:v>留盟</x:v>
      </x:c>
      <x:c r="F78" s="49" t="str">
        <x:v>玲珑</x:v>
      </x:c>
      <x:c r="G78" s="49" t="str">
        <x:v>兰亭</x:v>
      </x:c>
      <x:c r="H78" s="37" t="n">
        <x:v>26.8</x:v>
      </x:c>
      <x:c r="I78" s="37" t="n">
        <x:v>26.8</x:v>
      </x:c>
      <x:c r="J78" s="40" t="n">
        <x:v>733</x:v>
      </x:c>
      <x:c r="K78" s="40" t="n">
        <x:v>644</x:v>
      </x:c>
      <x:c r="L78" s="40" t="n">
        <x:v>661</x:v>
      </x:c>
      <x:c r="M78" s="40" t="n">
        <x:v>556</x:v>
      </x:c>
      <x:c r="N78" s="40" t="n">
        <x:v>726</x:v>
      </x:c>
      <x:c r="O78" s="40" t="n">
        <x:v>602</x:v>
      </x:c>
      <x:c r="P78" s="40" t="n">
        <x:f>IF(COUNT(J78:O78)=0,"",SUM(J78:O78))</x:f>
        <x:v>3922</x:v>
      </x:c>
      <x:c r="Q78" s="40" t="n">
        <x:v>2192369902</x:v>
      </x:c>
      <x:c r="R78" s="40" t="n">
        <x:v>80056861</x:v>
      </x:c>
      <x:c r="S78" s="40" t="n">
        <x:v>246917760</x:v>
      </x:c>
      <x:c r="T78" s="40" t="n">
        <x:v>0</x:v>
      </x:c>
      <x:c r="U78" s="40" t="n">
        <x:v>151200</x:v>
      </x:c>
      <x:c r="V78" s="49" t="str">
        <x:v>宫阙3级</x:v>
      </x:c>
      <x:c r="W78" s="49" t="n">
        <x:v>3</x:v>
      </x:c>
      <x:c r="X78" s="52" t="n">
        <x:f>ROUND(100*(0.4*LN(1+Q78)/LN(1+MAX($Q$5:$Q$395))+0.35*R78/MAX($R$5:$R$395)+0.15*S78/MAX($S$5:$S$395)+IF(P78="",0,0.1*P78/MAX($P$5:$P$395)))/IF(P78="",0.9,1),1)</x:f>
        <x:v>70.8</x:v>
      </x:c>
      <x:c r="Y78" s="49" t="n">
        <x:f>RANK.EQ(X78,$X$5:$X$395,0)</x:f>
        <x:v>192</x:v>
      </x:c>
      <x:c r="Z78" s="34" t="str">
        <x:v>保留兰亭战斗骨干</x:v>
      </x:c>
      <x:c r="AA78" s="55"/>
    </x:row>
    <x:row r="79" ht="20" customHeight="1">
      <x:c r="A79" s="46" t="n">
        <x:v>282</x:v>
      </x:c>
      <x:c r="B79" s="27" t="str">
        <x:v>小曹贼</x:v>
      </x:c>
      <x:c r="C79" s="49" t="str">
        <x:v>兰亭</x:v>
      </x:c>
      <x:c r="D79" s="49" t="str">
        <x:v>兰亭</x:v>
      </x:c>
      <x:c r="E79" s="49" t="str">
        <x:v>留盟</x:v>
      </x:c>
      <x:c r="F79" s="49" t="str"/>
      <x:c r="G79" s="49"/>
      <x:c r="H79" s="37" t="n">
        <x:v>28.6</x:v>
      </x:c>
      <x:c r="I79" s="37" t="n">
        <x:v>26.6</x:v>
      </x:c>
      <x:c r="J79" s="40" t="n">
        <x:v>830</x:v>
      </x:c>
      <x:c r="K79" s="40" t="n">
        <x:v>880</x:v>
      </x:c>
      <x:c r="L79" s="40" t="n">
        <x:v>573</x:v>
      </x:c>
      <x:c r="M79" s="40" t="n">
        <x:v>485</x:v>
      </x:c>
      <x:c r="N79" s="40" t="n">
        <x:v>758</x:v>
      </x:c>
      <x:c r="O79" s="40" t="n">
        <x:v>798</x:v>
      </x:c>
      <x:c r="P79" s="40" t="n">
        <x:f>IF(COUNT(J79:O79)=0,"",SUM(J79:O79))</x:f>
        <x:v>4324</x:v>
      </x:c>
      <x:c r="Q79" s="40" t="n">
        <x:v>1114866846</x:v>
      </x:c>
      <x:c r="R79" s="40" t="n">
        <x:v>80696272</x:v>
      </x:c>
      <x:c r="S79" s="40" t="n">
        <x:v>256824305</x:v>
      </x:c>
      <x:c r="T79" s="40" t="n">
        <x:v>0</x:v>
      </x:c>
      <x:c r="U79" s="40" t="n">
        <x:v>105600</x:v>
      </x:c>
      <x:c r="V79" s="49" t="str">
        <x:v>宫阙3级</x:v>
      </x:c>
      <x:c r="W79" s="49" t="n">
        <x:v>3</x:v>
      </x:c>
      <x:c r="X79" s="52" t="n">
        <x:f>ROUND(100*(0.4*LN(1+Q79)/LN(1+MAX($Q$5:$Q$395))+0.35*R79/MAX($R$5:$R$395)+0.15*S79/MAX($S$5:$S$395)+IF(P79="",0,0.1*P79/MAX($P$5:$P$395)))/IF(P79="",0.9,1),1)</x:f>
        <x:v>70.8</x:v>
      </x:c>
      <x:c r="Y79" s="49" t="n">
        <x:f>RANK.EQ(X79,$X$5:$X$395,0)</x:f>
        <x:v>192</x:v>
      </x:c>
      <x:c r="Z79" s="34" t="str">
        <x:v>保留兰亭战斗骨干</x:v>
      </x:c>
      <x:c r="AA79" s="55"/>
    </x:row>
    <x:row r="80" ht="20" customHeight="1">
      <x:c r="A80" s="46" t="n">
        <x:v>243</x:v>
      </x:c>
      <x:c r="B80" s="27" t="str">
        <x:v>事后诸葛小坏蛋</x:v>
      </x:c>
      <x:c r="C80" s="49" t="str">
        <x:v>兰亭</x:v>
      </x:c>
      <x:c r="D80" s="49" t="str">
        <x:v>兰亭</x:v>
      </x:c>
      <x:c r="E80" s="49" t="str">
        <x:v>留盟</x:v>
      </x:c>
      <x:c r="F80" s="49" t="str">
        <x:v>花晨</x:v>
      </x:c>
      <x:c r="G80" s="49"/>
      <x:c r="H80" s="37"/>
      <x:c r="I80" s="37"/>
      <x:c r="J80" s="40"/>
      <x:c r="K80" s="40"/>
      <x:c r="L80" s="40"/>
      <x:c r="M80" s="40"/>
      <x:c r="N80" s="40"/>
      <x:c r="O80" s="40"/>
      <x:c r="P80" s="40" t="str">
        <x:f>IF(COUNT(J80:O80)=0,"",SUM(J80:O80))</x:f>
      </x:c>
      <x:c r="Q80" s="40" t="n">
        <x:v>3989387842</x:v>
      </x:c>
      <x:c r="R80" s="40" t="n">
        <x:v>75273955</x:v>
      </x:c>
      <x:c r="S80" s="40" t="n">
        <x:v>216158270</x:v>
      </x:c>
      <x:c r="T80" s="40" t="n">
        <x:v>0</x:v>
      </x:c>
      <x:c r="U80" s="40" t="n">
        <x:v>123840</x:v>
      </x:c>
      <x:c r="V80" s="49" t="str">
        <x:v>宫阙3级</x:v>
      </x:c>
      <x:c r="W80" s="49" t="n">
        <x:v>1</x:v>
      </x:c>
      <x:c r="X80" s="52" t="n">
        <x:f>ROUND(100*(0.4*LN(1+Q80)/LN(1+MAX($Q$5:$Q$395))+0.35*R80/MAX($R$5:$R$395)+0.15*S80/MAX($S$5:$S$395)+IF(P80="",0,0.1*P80/MAX($P$5:$P$395)))/IF(P80="",0.9,1),1)</x:f>
        <x:v>70.7</x:v>
      </x:c>
      <x:c r="Y80" s="49" t="n">
        <x:f>RANK.EQ(X80,$X$5:$X$395,0)</x:f>
        <x:v>195</x:v>
      </x:c>
      <x:c r="Z80" s="34" t="str">
        <x:v>保留兰亭战斗骨干</x:v>
      </x:c>
      <x:c r="AA80" s="55" t="str">
        <x:v>六维未匹配</x:v>
      </x:c>
    </x:row>
    <x:row r="81" ht="20" customHeight="1">
      <x:c r="A81" s="46" t="n">
        <x:v>230</x:v>
      </x:c>
      <x:c r="B81" s="27" t="str">
        <x:v>初雪未央</x:v>
      </x:c>
      <x:c r="C81" s="49" t="str">
        <x:v>兰亭</x:v>
      </x:c>
      <x:c r="D81" s="49" t="str">
        <x:v>兰亭</x:v>
      </x:c>
      <x:c r="E81" s="49" t="str">
        <x:v>留盟</x:v>
      </x:c>
      <x:c r="F81" s="49" t="str">
        <x:v>花晨</x:v>
      </x:c>
      <x:c r="G81" s="49" t="str">
        <x:v>花晨</x:v>
      </x:c>
      <x:c r="H81" s="37" t="n">
        <x:v>28.8</x:v>
      </x:c>
      <x:c r="I81" s="37" t="n">
        <x:v>28.8</x:v>
      </x:c>
      <x:c r="J81" s="40" t="n">
        <x:v>701</x:v>
      </x:c>
      <x:c r="K81" s="40" t="n">
        <x:v>715</x:v>
      </x:c>
      <x:c r="L81" s="40" t="n">
        <x:v>663</x:v>
      </x:c>
      <x:c r="M81" s="40" t="n">
        <x:v>430</x:v>
      </x:c>
      <x:c r="N81" s="40" t="n">
        <x:v>661</x:v>
      </x:c>
      <x:c r="O81" s="40" t="n">
        <x:v>573</x:v>
      </x:c>
      <x:c r="P81" s="40" t="n">
        <x:f>IF(COUNT(J81:O81)=0,"",SUM(J81:O81))</x:f>
        <x:v>3743</x:v>
      </x:c>
      <x:c r="Q81" s="40" t="n">
        <x:v>4588162207</x:v>
      </x:c>
      <x:c r="R81" s="40" t="n">
        <x:v>77247559</x:v>
      </x:c>
      <x:c r="S81" s="40" t="n">
        <x:v>226812353</x:v>
      </x:c>
      <x:c r="T81" s="40" t="n">
        <x:v>0</x:v>
      </x:c>
      <x:c r="U81" s="40" t="n">
        <x:v>141600</x:v>
      </x:c>
      <x:c r="V81" s="49" t="str">
        <x:v>宫阙3级</x:v>
      </x:c>
      <x:c r="W81" s="49" t="n">
        <x:v>3</x:v>
      </x:c>
      <x:c r="X81" s="52" t="n">
        <x:f>ROUND(100*(0.4*LN(1+Q81)/LN(1+MAX($Q$5:$Q$395))+0.35*R81/MAX($R$5:$R$395)+0.15*S81/MAX($S$5:$S$395)+IF(P81="",0,0.1*P81/MAX($P$5:$P$395)))/IF(P81="",0.9,1),1)</x:f>
        <x:v>70.5</x:v>
      </x:c>
      <x:c r="Y81" s="49" t="n">
        <x:f>RANK.EQ(X81,$X$5:$X$395,0)</x:f>
        <x:v>199</x:v>
      </x:c>
      <x:c r="Z81" s="34" t="str">
        <x:v>保留兰亭战斗骨干</x:v>
      </x:c>
      <x:c r="AA81" s="55"/>
    </x:row>
    <x:row r="82" ht="20" customHeight="1">
      <x:c r="A82" s="46" t="n">
        <x:v>223</x:v>
      </x:c>
      <x:c r="B82" s="27" t="str">
        <x:v>水泽宁芙</x:v>
      </x:c>
      <x:c r="C82" s="49" t="str">
        <x:v>兰亭</x:v>
      </x:c>
      <x:c r="D82" s="49" t="str">
        <x:v>兰亭</x:v>
      </x:c>
      <x:c r="E82" s="49" t="str">
        <x:v>留盟</x:v>
      </x:c>
      <x:c r="F82" s="49" t="str">
        <x:v>兰亭</x:v>
      </x:c>
      <x:c r="G82" s="49" t="str">
        <x:v>兰亭</x:v>
      </x:c>
      <x:c r="H82" s="37" t="n">
        <x:v>26.3</x:v>
      </x:c>
      <x:c r="I82" s="37" t="n">
        <x:v>26.3</x:v>
      </x:c>
      <x:c r="J82" s="40" t="n">
        <x:v>634</x:v>
      </x:c>
      <x:c r="K82" s="40" t="n">
        <x:v>857</x:v>
      </x:c>
      <x:c r="L82" s="40" t="n">
        <x:v>636</x:v>
      </x:c>
      <x:c r="M82" s="40" t="n">
        <x:v>597</x:v>
      </x:c>
      <x:c r="N82" s="40" t="n">
        <x:v>714</x:v>
      </x:c>
      <x:c r="O82" s="40" t="n">
        <x:v>683</x:v>
      </x:c>
      <x:c r="P82" s="40" t="n">
        <x:f>IF(COUNT(J82:O82)=0,"",SUM(J82:O82))</x:f>
        <x:v>4121</x:v>
      </x:c>
      <x:c r="Q82" s="40" t="n">
        <x:v>5120881660</x:v>
      </x:c>
      <x:c r="R82" s="40" t="n">
        <x:v>76010117</x:v>
      </x:c>
      <x:c r="S82" s="40" t="n">
        <x:v>208192436</x:v>
      </x:c>
      <x:c r="T82" s="40" t="n">
        <x:v>0</x:v>
      </x:c>
      <x:c r="U82" s="40" t="n">
        <x:v>165120</x:v>
      </x:c>
      <x:c r="V82" s="49" t="str">
        <x:v>宫阙3级</x:v>
      </x:c>
      <x:c r="W82" s="49" t="n">
        <x:v>2</x:v>
      </x:c>
      <x:c r="X82" s="52" t="n">
        <x:f>ROUND(100*(0.4*LN(1+Q82)/LN(1+MAX($Q$5:$Q$395))+0.35*R82/MAX($R$5:$R$395)+0.15*S82/MAX($S$5:$S$395)+IF(P82="",0,0.1*P82/MAX($P$5:$P$395)))/IF(P82="",0.9,1),1)</x:f>
        <x:v>70.4</x:v>
      </x:c>
      <x:c r="Y82" s="49" t="n">
        <x:f>RANK.EQ(X82,$X$5:$X$395,0)</x:f>
        <x:v>200</x:v>
      </x:c>
      <x:c r="Z82" s="34" t="str">
        <x:v>保留兰亭战斗骨干</x:v>
      </x:c>
      <x:c r="AA82" s="55"/>
    </x:row>
    <x:row r="83" ht="20" customHeight="1">
      <x:c r="A83" s="46" t="n">
        <x:v>271</x:v>
      </x:c>
      <x:c r="B83" s="27" t="str">
        <x:v>携鹿去新疆</x:v>
      </x:c>
      <x:c r="C83" s="49" t="str">
        <x:v>兰亭</x:v>
      </x:c>
      <x:c r="D83" s="49" t="str">
        <x:v>兰亭</x:v>
      </x:c>
      <x:c r="E83" s="49" t="str">
        <x:v>留盟</x:v>
      </x:c>
      <x:c r="F83" s="49" t="str">
        <x:v>玲珑</x:v>
      </x:c>
      <x:c r="G83" s="49" t="str">
        <x:v>兰亭</x:v>
      </x:c>
      <x:c r="H83" s="37" t="n">
        <x:v>26.9</x:v>
      </x:c>
      <x:c r="I83" s="37" t="n">
        <x:v>26.9</x:v>
      </x:c>
      <x:c r="J83" s="40" t="n">
        <x:v>739</x:v>
      </x:c>
      <x:c r="K83" s="40" t="n">
        <x:v>612</x:v>
      </x:c>
      <x:c r="L83" s="40" t="n">
        <x:v>615</x:v>
      </x:c>
      <x:c r="M83" s="40" t="n">
        <x:v>576</x:v>
      </x:c>
      <x:c r="N83" s="40" t="n">
        <x:v>726</x:v>
      </x:c>
      <x:c r="O83" s="40" t="n">
        <x:v>609</x:v>
      </x:c>
      <x:c r="P83" s="40" t="n">
        <x:f>IF(COUNT(J83:O83)=0,"",SUM(J83:O83))</x:f>
        <x:v>3877</x:v>
      </x:c>
      <x:c r="Q83" s="40" t="n">
        <x:v>1969008497</x:v>
      </x:c>
      <x:c r="R83" s="40" t="n">
        <x:v>80083039</x:v>
      </x:c>
      <x:c r="S83" s="40" t="n">
        <x:v>235714640</x:v>
      </x:c>
      <x:c r="T83" s="40" t="n">
        <x:v>0</x:v>
      </x:c>
      <x:c r="U83" s="40" t="n">
        <x:v>94560</x:v>
      </x:c>
      <x:c r="V83" s="49" t="str">
        <x:v>宫阙3级</x:v>
      </x:c>
      <x:c r="W83" s="49" t="n">
        <x:v>3</x:v>
      </x:c>
      <x:c r="X83" s="52" t="n">
        <x:f>ROUND(100*(0.4*LN(1+Q83)/LN(1+MAX($Q$5:$Q$395))+0.35*R83/MAX($R$5:$R$395)+0.15*S83/MAX($S$5:$S$395)+IF(P83="",0,0.1*P83/MAX($P$5:$P$395)))/IF(P83="",0.9,1),1)</x:f>
        <x:v>70.3</x:v>
      </x:c>
      <x:c r="Y83" s="49" t="n">
        <x:f>RANK.EQ(X83,$X$5:$X$395,0)</x:f>
        <x:v>202</x:v>
      </x:c>
      <x:c r="Z83" s="34" t="str">
        <x:v>保留兰亭战斗骨干</x:v>
      </x:c>
      <x:c r="AA83" s="55"/>
    </x:row>
    <x:row r="84" ht="20" customHeight="1">
      <x:c r="A84" s="46" t="n">
        <x:v>247</x:v>
      </x:c>
      <x:c r="B84" s="27" t="str">
        <x:v>将进才</x:v>
      </x:c>
      <x:c r="C84" s="49" t="str">
        <x:v>兰亭</x:v>
      </x:c>
      <x:c r="D84" s="49" t="str">
        <x:v>兰亭</x:v>
      </x:c>
      <x:c r="E84" s="49" t="str">
        <x:v>留盟</x:v>
      </x:c>
      <x:c r="F84" s="49" t="str"/>
      <x:c r="G84" s="49"/>
      <x:c r="H84" s="37"/>
      <x:c r="I84" s="37"/>
      <x:c r="J84" s="40"/>
      <x:c r="K84" s="40"/>
      <x:c r="L84" s="40"/>
      <x:c r="M84" s="40"/>
      <x:c r="N84" s="40"/>
      <x:c r="O84" s="40"/>
      <x:c r="P84" s="40" t="str">
        <x:f>IF(COUNT(J84:O84)=0,"",SUM(J84:O84))</x:f>
      </x:c>
      <x:c r="Q84" s="40" t="n">
        <x:v>3767029238</x:v>
      </x:c>
      <x:c r="R84" s="40" t="n">
        <x:v>74120974</x:v>
      </x:c>
      <x:c r="S84" s="40" t="n">
        <x:v>217082688</x:v>
      </x:c>
      <x:c r="T84" s="40" t="n">
        <x:v>0</x:v>
      </x:c>
      <x:c r="U84" s="40" t="n">
        <x:v>0</x:v>
      </x:c>
      <x:c r="V84" s="49" t="str">
        <x:v>宫阙3级</x:v>
      </x:c>
      <x:c r="W84" s="49" t="n">
        <x:v>3</x:v>
      </x:c>
      <x:c r="X84" s="52" t="n">
        <x:f>ROUND(100*(0.4*LN(1+Q84)/LN(1+MAX($Q$5:$Q$395))+0.35*R84/MAX($R$5:$R$395)+0.15*S84/MAX($S$5:$S$395)+IF(P84="",0,0.1*P84/MAX($P$5:$P$395)))/IF(P84="",0.9,1),1)</x:f>
        <x:v>70.3</x:v>
      </x:c>
      <x:c r="Y84" s="49" t="n">
        <x:f>RANK.EQ(X84,$X$5:$X$395,0)</x:f>
        <x:v>202</x:v>
      </x:c>
      <x:c r="Z84" s="34" t="str">
        <x:v>保留兰亭战斗骨干</x:v>
      </x:c>
      <x:c r="AA84" s="55" t="str">
        <x:v>六维未匹配</x:v>
      </x:c>
    </x:row>
    <x:row r="85" ht="20" customHeight="1">
      <x:c r="A85" s="46" t="n">
        <x:v>251</x:v>
      </x:c>
      <x:c r="B85" s="27" t="str">
        <x:v>大道至简</x:v>
      </x:c>
      <x:c r="C85" s="49" t="str">
        <x:v>兰亭</x:v>
      </x:c>
      <x:c r="D85" s="49" t="str">
        <x:v>兰亭</x:v>
      </x:c>
      <x:c r="E85" s="49" t="str">
        <x:v>留盟</x:v>
      </x:c>
      <x:c r="F85" s="49" t="str">
        <x:v>玲珑</x:v>
      </x:c>
      <x:c r="G85" s="49" t="str">
        <x:v>兰亭</x:v>
      </x:c>
      <x:c r="H85" s="37" t="n">
        <x:v>25.5</x:v>
      </x:c>
      <x:c r="I85" s="37" t="n">
        <x:v>25.5</x:v>
      </x:c>
      <x:c r="J85" s="40" t="n">
        <x:v>689</x:v>
      </x:c>
      <x:c r="K85" s="40" t="n">
        <x:v>779</x:v>
      </x:c>
      <x:c r="L85" s="40" t="n">
        <x:v>563</x:v>
      </x:c>
      <x:c r="M85" s="40" t="n">
        <x:v>450</x:v>
      </x:c>
      <x:c r="N85" s="40" t="n">
        <x:v>649</x:v>
      </x:c>
      <x:c r="O85" s="40" t="n">
        <x:v>587</x:v>
      </x:c>
      <x:c r="P85" s="40" t="n">
        <x:f>IF(COUNT(J85:O85)=0,"",SUM(J85:O85))</x:f>
        <x:v>3717</x:v>
      </x:c>
      <x:c r="Q85" s="40" t="n">
        <x:v>3224265038</x:v>
      </x:c>
      <x:c r="R85" s="40" t="n">
        <x:v>76932549</x:v>
      </x:c>
      <x:c r="S85" s="40" t="n">
        <x:v>232569454</x:v>
      </x:c>
      <x:c r="T85" s="40" t="n">
        <x:v>0</x:v>
      </x:c>
      <x:c r="U85" s="40" t="n">
        <x:v>7200</x:v>
      </x:c>
      <x:c r="V85" s="49" t="str">
        <x:v>宫阙3级</x:v>
      </x:c>
      <x:c r="W85" s="49" t="n">
        <x:v>3</x:v>
      </x:c>
      <x:c r="X85" s="52" t="n">
        <x:f>ROUND(100*(0.4*LN(1+Q85)/LN(1+MAX($Q$5:$Q$395))+0.35*R85/MAX($R$5:$R$395)+0.15*S85/MAX($S$5:$S$395)+IF(P85="",0,0.1*P85/MAX($P$5:$P$395)))/IF(P85="",0.9,1),1)</x:f>
        <x:v>70</x:v>
      </x:c>
      <x:c r="Y85" s="49" t="n">
        <x:f>RANK.EQ(X85,$X$5:$X$395,0)</x:f>
        <x:v>207</x:v>
      </x:c>
      <x:c r="Z85" s="34" t="str">
        <x:v>保留兰亭战斗骨干</x:v>
      </x:c>
      <x:c r="AA85" s="55"/>
    </x:row>
    <x:row r="86" ht="20" customHeight="1">
      <x:c r="A86" s="46" t="n">
        <x:v>228</x:v>
      </x:c>
      <x:c r="B86" s="27" t="str">
        <x:v>小婷婷啊</x:v>
      </x:c>
      <x:c r="C86" s="49" t="str">
        <x:v>兰亭</x:v>
      </x:c>
      <x:c r="D86" s="49" t="str">
        <x:v>兰亭</x:v>
      </x:c>
      <x:c r="E86" s="49" t="str">
        <x:v>留盟</x:v>
      </x:c>
      <x:c r="F86" s="49" t="str">
        <x:v>花晨</x:v>
      </x:c>
      <x:c r="G86" s="49" t="str">
        <x:v>兰亭</x:v>
      </x:c>
      <x:c r="H86" s="37" t="n">
        <x:v>24.7</x:v>
      </x:c>
      <x:c r="I86" s="37" t="n">
        <x:v>24.7</x:v>
      </x:c>
      <x:c r="J86" s="40" t="n">
        <x:v>657</x:v>
      </x:c>
      <x:c r="K86" s="40" t="n">
        <x:v>617</x:v>
      </x:c>
      <x:c r="L86" s="40" t="n">
        <x:v>580</x:v>
      </x:c>
      <x:c r="M86" s="40" t="n">
        <x:v>412</x:v>
      </x:c>
      <x:c r="N86" s="40" t="n">
        <x:v>667</x:v>
      </x:c>
      <x:c r="O86" s="40" t="n">
        <x:v>506</x:v>
      </x:c>
      <x:c r="P86" s="40" t="n">
        <x:f>IF(COUNT(J86:O86)=0,"",SUM(J86:O86))</x:f>
        <x:v>3439</x:v>
      </x:c>
      <x:c r="Q86" s="40" t="n">
        <x:v>4641743641</x:v>
      </x:c>
      <x:c r="R86" s="40" t="n">
        <x:v>74138402</x:v>
      </x:c>
      <x:c r="S86" s="40" t="n">
        <x:v>247311885</x:v>
      </x:c>
      <x:c r="T86" s="40" t="n">
        <x:v>0</x:v>
      </x:c>
      <x:c r="U86" s="40" t="n">
        <x:v>154800</x:v>
      </x:c>
      <x:c r="V86" s="49" t="str">
        <x:v>宫阙3级</x:v>
      </x:c>
      <x:c r="W86" s="49" t="n">
        <x:v>3</x:v>
      </x:c>
      <x:c r="X86" s="52" t="n">
        <x:f>ROUND(100*(0.4*LN(1+Q86)/LN(1+MAX($Q$5:$Q$395))+0.35*R86/MAX($R$5:$R$395)+0.15*S86/MAX($S$5:$S$395)+IF(P86="",0,0.1*P86/MAX($P$5:$P$395)))/IF(P86="",0.9,1),1)</x:f>
        <x:v>69.9</x:v>
      </x:c>
      <x:c r="Y86" s="49" t="n">
        <x:f>RANK.EQ(X86,$X$5:$X$395,0)</x:f>
        <x:v>209</x:v>
      </x:c>
      <x:c r="Z86" s="34" t="str">
        <x:v>保留兰亭战斗骨干</x:v>
      </x:c>
      <x:c r="AA86" s="55" t="str">
        <x:v>名称对应：小婷婷</x:v>
      </x:c>
    </x:row>
    <x:row r="87" ht="20" customHeight="1">
      <x:c r="A87" s="46" t="n">
        <x:v>265</x:v>
      </x:c>
      <x:c r="B87" s="27" t="str">
        <x:v>山咔咔</x:v>
      </x:c>
      <x:c r="C87" s="49" t="str">
        <x:v>兰亭</x:v>
      </x:c>
      <x:c r="D87" s="49" t="str">
        <x:v>兰亭</x:v>
      </x:c>
      <x:c r="E87" s="49" t="str">
        <x:v>留盟</x:v>
      </x:c>
      <x:c r="F87" s="49" t="str"/>
      <x:c r="G87" s="49"/>
      <x:c r="H87" s="37"/>
      <x:c r="I87" s="37"/>
      <x:c r="J87" s="40"/>
      <x:c r="K87" s="40"/>
      <x:c r="L87" s="40"/>
      <x:c r="M87" s="40"/>
      <x:c r="N87" s="40"/>
      <x:c r="O87" s="40"/>
      <x:c r="P87" s="40" t="str">
        <x:f>IF(COUNT(J87:O87)=0,"",SUM(J87:O87))</x:f>
      </x:c>
      <x:c r="Q87" s="40" t="n">
        <x:v>2299925636</x:v>
      </x:c>
      <x:c r="R87" s="40" t="n">
        <x:v>74699232</x:v>
      </x:c>
      <x:c r="S87" s="40" t="n">
        <x:v>226400335</x:v>
      </x:c>
      <x:c r="T87" s="40" t="n">
        <x:v>0</x:v>
      </x:c>
      <x:c r="U87" s="40" t="n">
        <x:v>144240</x:v>
      </x:c>
      <x:c r="V87" s="49" t="str">
        <x:v>宫阙3级</x:v>
      </x:c>
      <x:c r="W87" s="49" t="n">
        <x:v>3</x:v>
      </x:c>
      <x:c r="X87" s="52" t="n">
        <x:f>ROUND(100*(0.4*LN(1+Q87)/LN(1+MAX($Q$5:$Q$395))+0.35*R87/MAX($R$5:$R$395)+0.15*S87/MAX($S$5:$S$395)+IF(P87="",0,0.1*P87/MAX($P$5:$P$395)))/IF(P87="",0.9,1),1)</x:f>
        <x:v>69.8</x:v>
      </x:c>
      <x:c r="Y87" s="49" t="n">
        <x:f>RANK.EQ(X87,$X$5:$X$395,0)</x:f>
        <x:v>210</x:v>
      </x:c>
      <x:c r="Z87" s="34" t="str">
        <x:v>保留兰亭战斗骨干</x:v>
      </x:c>
      <x:c r="AA87" s="55" t="str">
        <x:v>六维未匹配</x:v>
      </x:c>
    </x:row>
    <x:row r="88" ht="20" customHeight="1">
      <x:c r="A88" s="46" t="n">
        <x:v>216</x:v>
      </x:c>
      <x:c r="B88" s="27" t="str">
        <x:v>云饵猫猫</x:v>
      </x:c>
      <x:c r="C88" s="49" t="str">
        <x:v>兰亭</x:v>
      </x:c>
      <x:c r="D88" s="49" t="str">
        <x:v>兰亭</x:v>
      </x:c>
      <x:c r="E88" s="49" t="str">
        <x:v>留盟</x:v>
      </x:c>
      <x:c r="F88" s="49" t="str">
        <x:v>玲珑</x:v>
      </x:c>
      <x:c r="G88" s="49" t="str">
        <x:v>兰亭</x:v>
      </x:c>
      <x:c r="H88" s="37" t="n">
        <x:v>27.8</x:v>
      </x:c>
      <x:c r="I88" s="37" t="n">
        <x:v>27.8</x:v>
      </x:c>
      <x:c r="J88" s="40" t="n">
        <x:v>702</x:v>
      </x:c>
      <x:c r="K88" s="40" t="n">
        <x:v>669</x:v>
      </x:c>
      <x:c r="L88" s="40" t="n">
        <x:v>596</x:v>
      </x:c>
      <x:c r="M88" s="40" t="n">
        <x:v>568</x:v>
      </x:c>
      <x:c r="N88" s="40" t="n">
        <x:v>616</x:v>
      </x:c>
      <x:c r="O88" s="40" t="n">
        <x:v>669</x:v>
      </x:c>
      <x:c r="P88" s="40" t="n">
        <x:f>IF(COUNT(J88:O88)=0,"",SUM(J88:O88))</x:f>
        <x:v>3820</x:v>
      </x:c>
      <x:c r="Q88" s="40" t="n">
        <x:v>5524205694</x:v>
      </x:c>
      <x:c r="R88" s="40" t="n">
        <x:v>72868042</x:v>
      </x:c>
      <x:c r="S88" s="40" t="n">
        <x:v>217443574</x:v>
      </x:c>
      <x:c r="T88" s="40" t="n">
        <x:v>0</x:v>
      </x:c>
      <x:c r="U88" s="40" t="n">
        <x:v>84720</x:v>
      </x:c>
      <x:c r="V88" s="49" t="str">
        <x:v>宫阙3级</x:v>
      </x:c>
      <x:c r="W88" s="49" t="n">
        <x:v>3</x:v>
      </x:c>
      <x:c r="X88" s="52" t="n">
        <x:f>ROUND(100*(0.4*LN(1+Q88)/LN(1+MAX($Q$5:$Q$395))+0.35*R88/MAX($R$5:$R$395)+0.15*S88/MAX($S$5:$S$395)+IF(P88="",0,0.1*P88/MAX($P$5:$P$395)))/IF(P88="",0.9,1),1)</x:f>
        <x:v>69.5</x:v>
      </x:c>
      <x:c r="Y88" s="49" t="n">
        <x:f>RANK.EQ(X88,$X$5:$X$395,0)</x:f>
        <x:v>212</x:v>
      </x:c>
      <x:c r="Z88" s="34" t="str">
        <x:v>保留兰亭战斗骨干</x:v>
      </x:c>
      <x:c r="AA88" s="55"/>
    </x:row>
    <x:row r="89" ht="20" customHeight="1">
      <x:c r="A89" s="46" t="n">
        <x:v>225</x:v>
      </x:c>
      <x:c r="B89" s="27" t="str">
        <x:v>尹志平</x:v>
      </x:c>
      <x:c r="C89" s="49" t="str">
        <x:v>兰亭</x:v>
      </x:c>
      <x:c r="D89" s="49" t="str">
        <x:v>兰亭</x:v>
      </x:c>
      <x:c r="E89" s="49" t="str">
        <x:v>留盟</x:v>
      </x:c>
      <x:c r="F89" s="49" t="str">
        <x:v>兰亭</x:v>
      </x:c>
      <x:c r="G89" s="49" t="str">
        <x:v>兰亭</x:v>
      </x:c>
      <x:c r="H89" s="37" t="n">
        <x:v>28</x:v>
      </x:c>
      <x:c r="I89" s="37" t="n">
        <x:v>28</x:v>
      </x:c>
      <x:c r="J89" s="40" t="n">
        <x:v>691</x:v>
      </x:c>
      <x:c r="K89" s="40" t="n">
        <x:v>683</x:v>
      </x:c>
      <x:c r="L89" s="40" t="n">
        <x:v>666</x:v>
      </x:c>
      <x:c r="M89" s="40" t="n">
        <x:v>500</x:v>
      </x:c>
      <x:c r="N89" s="40" t="n">
        <x:v>637</x:v>
      </x:c>
      <x:c r="O89" s="40" t="n">
        <x:v>603</x:v>
      </x:c>
      <x:c r="P89" s="40" t="n">
        <x:f>IF(COUNT(J89:O89)=0,"",SUM(J89:O89))</x:f>
        <x:v>3780</x:v>
      </x:c>
      <x:c r="Q89" s="40" t="n">
        <x:v>5011233352</x:v>
      </x:c>
      <x:c r="R89" s="40" t="n">
        <x:v>74801182</x:v>
      </x:c>
      <x:c r="S89" s="40" t="n">
        <x:v>207413441</x:v>
      </x:c>
      <x:c r="T89" s="40" t="n">
        <x:v>0</x:v>
      </x:c>
      <x:c r="U89" s="40" t="n">
        <x:v>84480</x:v>
      </x:c>
      <x:c r="V89" s="49" t="str">
        <x:v>宫阙3级</x:v>
      </x:c>
      <x:c r="W89" s="49" t="n">
        <x:v>1</x:v>
      </x:c>
      <x:c r="X89" s="52" t="n">
        <x:f>ROUND(100*(0.4*LN(1+Q89)/LN(1+MAX($Q$5:$Q$395))+0.35*R89/MAX($R$5:$R$395)+0.15*S89/MAX($S$5:$S$395)+IF(P89="",0,0.1*P89/MAX($P$5:$P$395)))/IF(P89="",0.9,1),1)</x:f>
        <x:v>69.5</x:v>
      </x:c>
      <x:c r="Y89" s="49" t="n">
        <x:f>RANK.EQ(X89,$X$5:$X$395,0)</x:f>
        <x:v>212</x:v>
      </x:c>
      <x:c r="Z89" s="34" t="str">
        <x:v>保留兰亭战斗骨干</x:v>
      </x:c>
      <x:c r="AA89" s="55"/>
    </x:row>
    <x:row r="90" ht="20" customHeight="1">
      <x:c r="A90" s="46" t="n">
        <x:v>254</x:v>
      </x:c>
      <x:c r="B90" s="27" t="str">
        <x:v>美美甜</x:v>
      </x:c>
      <x:c r="C90" s="49" t="str">
        <x:v>兰亭</x:v>
      </x:c>
      <x:c r="D90" s="49" t="str">
        <x:v>兰亭</x:v>
      </x:c>
      <x:c r="E90" s="49" t="str">
        <x:v>留盟</x:v>
      </x:c>
      <x:c r="F90" s="49" t="str">
        <x:v>花晨</x:v>
      </x:c>
      <x:c r="G90" s="49" t="str">
        <x:v>花晨</x:v>
      </x:c>
      <x:c r="H90" s="37" t="n">
        <x:v>26.74</x:v>
      </x:c>
      <x:c r="I90" s="37" t="n">
        <x:v>26.74</x:v>
      </x:c>
      <x:c r="J90" s="40" t="n">
        <x:v>572</x:v>
      </x:c>
      <x:c r="K90" s="40" t="n">
        <x:v>702</x:v>
      </x:c>
      <x:c r="L90" s="40" t="n">
        <x:v>604</x:v>
      </x:c>
      <x:c r="M90" s="40" t="n">
        <x:v>450</x:v>
      </x:c>
      <x:c r="N90" s="40" t="n">
        <x:v>639</x:v>
      </x:c>
      <x:c r="O90" s="40" t="n">
        <x:v>583</x:v>
      </x:c>
      <x:c r="P90" s="40" t="n">
        <x:f>IF(COUNT(J90:O90)=0,"",SUM(J90:O90))</x:f>
        <x:v>3550</x:v>
      </x:c>
      <x:c r="Q90" s="40" t="n">
        <x:v>3163657947</x:v>
      </x:c>
      <x:c r="R90" s="40" t="n">
        <x:v>74110604</x:v>
      </x:c>
      <x:c r="S90" s="40" t="n">
        <x:v>245161056</x:v>
      </x:c>
      <x:c r="T90" s="40" t="n">
        <x:v>0</x:v>
      </x:c>
      <x:c r="U90" s="40" t="n">
        <x:v>110160</x:v>
      </x:c>
      <x:c r="V90" s="49" t="str">
        <x:v>宫阙3级</x:v>
      </x:c>
      <x:c r="W90" s="49" t="n">
        <x:v>3</x:v>
      </x:c>
      <x:c r="X90" s="52" t="n">
        <x:f>ROUND(100*(0.4*LN(1+Q90)/LN(1+MAX($Q$5:$Q$395))+0.35*R90/MAX($R$5:$R$395)+0.15*S90/MAX($S$5:$S$395)+IF(P90="",0,0.1*P90/MAX($P$5:$P$395)))/IF(P90="",0.9,1),1)</x:f>
        <x:v>69.3</x:v>
      </x:c>
      <x:c r="Y90" s="49" t="n">
        <x:f>RANK.EQ(X90,$X$5:$X$395,0)</x:f>
        <x:v>215</x:v>
      </x:c>
      <x:c r="Z90" s="34" t="str">
        <x:v>保留兰亭战斗骨干</x:v>
      </x:c>
      <x:c r="AA90" s="55"/>
    </x:row>
    <x:row r="91" ht="20" customHeight="1">
      <x:c r="A91" s="46" t="n">
        <x:v>238</x:v>
      </x:c>
      <x:c r="B91" s="27" t="str">
        <x:v>我是山东的</x:v>
      </x:c>
      <x:c r="C91" s="49" t="str">
        <x:v>兰亭</x:v>
      </x:c>
      <x:c r="D91" s="49" t="str">
        <x:v>兰亭</x:v>
      </x:c>
      <x:c r="E91" s="49" t="str">
        <x:v>留盟</x:v>
      </x:c>
      <x:c r="F91" s="49" t="str"/>
      <x:c r="G91" s="49"/>
      <x:c r="H91" s="37" t="n">
        <x:v>28.8</x:v>
      </x:c>
      <x:c r="I91" s="37" t="n">
        <x:v>28.2</x:v>
      </x:c>
      <x:c r="J91" s="40" t="n">
        <x:v>730</x:v>
      </x:c>
      <x:c r="K91" s="40" t="n">
        <x:v>523</x:v>
      </x:c>
      <x:c r="L91" s="40" t="n">
        <x:v>580</x:v>
      </x:c>
      <x:c r="M91" s="40" t="n">
        <x:v>441</x:v>
      </x:c>
      <x:c r="N91" s="40" t="n">
        <x:v>670</x:v>
      </x:c>
      <x:c r="O91" s="40" t="n">
        <x:v>630</x:v>
      </x:c>
      <x:c r="P91" s="40" t="n">
        <x:f>IF(COUNT(J91:O91)=0,"",SUM(J91:O91))</x:f>
        <x:v>3574</x:v>
      </x:c>
      <x:c r="Q91" s="40" t="n">
        <x:v>4245424960</x:v>
      </x:c>
      <x:c r="R91" s="40" t="n">
        <x:v>72414504</x:v>
      </x:c>
      <x:c r="S91" s="40" t="n">
        <x:v>240762074</x:v>
      </x:c>
      <x:c r="T91" s="40" t="n">
        <x:v>0</x:v>
      </x:c>
      <x:c r="U91" s="40" t="n">
        <x:v>87120</x:v>
      </x:c>
      <x:c r="V91" s="49" t="str">
        <x:v>宫阙3级</x:v>
      </x:c>
      <x:c r="W91" s="49" t="n">
        <x:v>1</x:v>
      </x:c>
      <x:c r="X91" s="52" t="n">
        <x:f>ROUND(100*(0.4*LN(1+Q91)/LN(1+MAX($Q$5:$Q$395))+0.35*R91/MAX($R$5:$R$395)+0.15*S91/MAX($S$5:$S$395)+IF(P91="",0,0.1*P91/MAX($P$5:$P$395)))/IF(P91="",0.9,1),1)</x:f>
        <x:v>69.3</x:v>
      </x:c>
      <x:c r="Y91" s="49" t="n">
        <x:f>RANK.EQ(X91,$X$5:$X$395,0)</x:f>
        <x:v>215</x:v>
      </x:c>
      <x:c r="Z91" s="34" t="str">
        <x:v>保留兰亭战斗骨干</x:v>
      </x:c>
      <x:c r="AA91" s="55"/>
    </x:row>
    <x:row r="92" ht="20" customHeight="1">
      <x:c r="A92" s="46" t="n">
        <x:v>270</x:v>
      </x:c>
      <x:c r="B92" s="27" t="str">
        <x:v>安小曦</x:v>
      </x:c>
      <x:c r="C92" s="49" t="str">
        <x:v>兰亭</x:v>
      </x:c>
      <x:c r="D92" s="49" t="str">
        <x:v>兰亭</x:v>
      </x:c>
      <x:c r="E92" s="49" t="str">
        <x:v>留盟</x:v>
      </x:c>
      <x:c r="F92" s="49" t="str"/>
      <x:c r="G92" s="49"/>
      <x:c r="H92" s="37" t="n">
        <x:v>27.24</x:v>
      </x:c>
      <x:c r="I92" s="37" t="n">
        <x:v>25.7</x:v>
      </x:c>
      <x:c r="J92" s="40" t="n">
        <x:v>679</x:v>
      </x:c>
      <x:c r="K92" s="40" t="n">
        <x:v>653</x:v>
      </x:c>
      <x:c r="L92" s="40" t="n">
        <x:v>617</x:v>
      </x:c>
      <x:c r="M92" s="40" t="n">
        <x:v>506</x:v>
      </x:c>
      <x:c r="N92" s="40" t="n">
        <x:v>735</x:v>
      </x:c>
      <x:c r="O92" s="40" t="n">
        <x:v>576</x:v>
      </x:c>
      <x:c r="P92" s="40" t="n">
        <x:f>IF(COUNT(J92:O92)=0,"",SUM(J92:O92))</x:f>
        <x:v>3766</x:v>
      </x:c>
      <x:c r="Q92" s="40" t="n">
        <x:v>2185105487</x:v>
      </x:c>
      <x:c r="R92" s="40" t="n">
        <x:v>76277454</x:v>
      </x:c>
      <x:c r="S92" s="40" t="n">
        <x:v>233355088</x:v>
      </x:c>
      <x:c r="T92" s="40" t="n">
        <x:v>0</x:v>
      </x:c>
      <x:c r="U92" s="40" t="n">
        <x:v>143280</x:v>
      </x:c>
      <x:c r="V92" s="49" t="str">
        <x:v>宫阙3级</x:v>
      </x:c>
      <x:c r="W92" s="49" t="n">
        <x:v>3</x:v>
      </x:c>
      <x:c r="X92" s="52" t="n">
        <x:f>ROUND(100*(0.4*LN(1+Q92)/LN(1+MAX($Q$5:$Q$395))+0.35*R92/MAX($R$5:$R$395)+0.15*S92/MAX($S$5:$S$395)+IF(P92="",0,0.1*P92/MAX($P$5:$P$395)))/IF(P92="",0.9,1),1)</x:f>
        <x:v>69.2</x:v>
      </x:c>
      <x:c r="Y92" s="49" t="n">
        <x:f>RANK.EQ(X92,$X$5:$X$395,0)</x:f>
        <x:v>217</x:v>
      </x:c>
      <x:c r="Z92" s="34" t="str">
        <x:v>保留兰亭战斗骨干</x:v>
      </x:c>
      <x:c r="AA92" s="55"/>
    </x:row>
    <x:row r="93" ht="20" customHeight="1">
      <x:c r="A93" s="46" t="n">
        <x:v>242</x:v>
      </x:c>
      <x:c r="B93" s="27" t="str">
        <x:v>哈呀哈</x:v>
      </x:c>
      <x:c r="C93" s="49" t="str">
        <x:v>兰亭</x:v>
      </x:c>
      <x:c r="D93" s="49" t="str">
        <x:v>兰亭</x:v>
      </x:c>
      <x:c r="E93" s="49" t="str">
        <x:v>留盟</x:v>
      </x:c>
      <x:c r="F93" s="49" t="str"/>
      <x:c r="G93" s="49"/>
      <x:c r="H93" s="37"/>
      <x:c r="I93" s="37"/>
      <x:c r="J93" s="40"/>
      <x:c r="K93" s="40"/>
      <x:c r="L93" s="40"/>
      <x:c r="M93" s="40"/>
      <x:c r="N93" s="40"/>
      <x:c r="O93" s="40"/>
      <x:c r="P93" s="40" t="str">
        <x:f>IF(COUNT(J93:O93)=0,"",SUM(J93:O93))</x:f>
      </x:c>
      <x:c r="Q93" s="40" t="n">
        <x:v>4018623520</x:v>
      </x:c>
      <x:c r="R93" s="40" t="n">
        <x:v>69250531</x:v>
      </x:c>
      <x:c r="S93" s="40" t="n">
        <x:v>219642339</x:v>
      </x:c>
      <x:c r="T93" s="40" t="n">
        <x:v>0</x:v>
      </x:c>
      <x:c r="U93" s="40" t="n">
        <x:v>29760</x:v>
      </x:c>
      <x:c r="V93" s="49" t="str">
        <x:v>宫阙3级</x:v>
      </x:c>
      <x:c r="W93" s="49" t="n">
        <x:v>1</x:v>
      </x:c>
      <x:c r="X93" s="52" t="n">
        <x:f>ROUND(100*(0.4*LN(1+Q93)/LN(1+MAX($Q$5:$Q$395))+0.35*R93/MAX($R$5:$R$395)+0.15*S93/MAX($S$5:$S$395)+IF(P93="",0,0.1*P93/MAX($P$5:$P$395)))/IF(P93="",0.9,1),1)</x:f>
        <x:v>69.1</x:v>
      </x:c>
      <x:c r="Y93" s="49" t="n">
        <x:f>RANK.EQ(X93,$X$5:$X$395,0)</x:f>
        <x:v>219</x:v>
      </x:c>
      <x:c r="Z93" s="34" t="str">
        <x:v>保留兰亭战斗骨干</x:v>
      </x:c>
      <x:c r="AA93" s="55" t="str">
        <x:v>六维未匹配</x:v>
      </x:c>
    </x:row>
    <x:row r="94" ht="20" customHeight="1">
      <x:c r="A94" s="46" t="n">
        <x:v>262</x:v>
      </x:c>
      <x:c r="B94" s="27" t="str">
        <x:v>莹莹吖</x:v>
      </x:c>
      <x:c r="C94" s="49" t="str">
        <x:v>兰亭</x:v>
      </x:c>
      <x:c r="D94" s="49" t="str">
        <x:v>兰亭</x:v>
      </x:c>
      <x:c r="E94" s="49" t="str">
        <x:v>留盟</x:v>
      </x:c>
      <x:c r="F94" s="49" t="str"/>
      <x:c r="G94" s="49" t="str">
        <x:v>兰亭</x:v>
      </x:c>
      <x:c r="H94" s="37" t="n">
        <x:v>27.5</x:v>
      </x:c>
      <x:c r="I94" s="37" t="n">
        <x:v>27.5</x:v>
      </x:c>
      <x:c r="J94" s="40" t="n">
        <x:v>688</x:v>
      </x:c>
      <x:c r="K94" s="40" t="n">
        <x:v>686</x:v>
      </x:c>
      <x:c r="L94" s="40" t="n">
        <x:v>601</x:v>
      </x:c>
      <x:c r="M94" s="40" t="n">
        <x:v>457</x:v>
      </x:c>
      <x:c r="N94" s="40" t="n">
        <x:v>674</x:v>
      </x:c>
      <x:c r="O94" s="40" t="n">
        <x:v>588</x:v>
      </x:c>
      <x:c r="P94" s="40" t="n">
        <x:f>IF(COUNT(J94:O94)=0,"",SUM(J94:O94))</x:f>
        <x:v>3694</x:v>
      </x:c>
      <x:c r="Q94" s="40" t="n">
        <x:v>2625870588</x:v>
      </x:c>
      <x:c r="R94" s="40" t="n">
        <x:v>72481689</x:v>
      </x:c>
      <x:c r="S94" s="40" t="n">
        <x:v>249568446</x:v>
      </x:c>
      <x:c r="T94" s="40" t="n">
        <x:v>0</x:v>
      </x:c>
      <x:c r="U94" s="40" t="n">
        <x:v>84960</x:v>
      </x:c>
      <x:c r="V94" s="49" t="str">
        <x:v>宫阙3级</x:v>
      </x:c>
      <x:c r="W94" s="49" t="n">
        <x:v>1</x:v>
      </x:c>
      <x:c r="X94" s="52" t="n">
        <x:f>ROUND(100*(0.4*LN(1+Q94)/LN(1+MAX($Q$5:$Q$395))+0.35*R94/MAX($R$5:$R$395)+0.15*S94/MAX($S$5:$S$395)+IF(P94="",0,0.1*P94/MAX($P$5:$P$395)))/IF(P94="",0.9,1),1)</x:f>
        <x:v>68.9</x:v>
      </x:c>
      <x:c r="Y94" s="49" t="n">
        <x:f>RANK.EQ(X94,$X$5:$X$395,0)</x:f>
        <x:v>222</x:v>
      </x:c>
      <x:c r="Z94" s="34" t="str">
        <x:v>保留兰亭战斗骨干</x:v>
      </x:c>
      <x:c r="AA94" s="55"/>
    </x:row>
    <x:row r="95" ht="20" customHeight="1">
      <x:c r="A95" s="46" t="n">
        <x:v>235</x:v>
      </x:c>
      <x:c r="B95" s="27" t="str">
        <x:v>小成即安</x:v>
      </x:c>
      <x:c r="C95" s="49" t="str">
        <x:v>兰亭</x:v>
      </x:c>
      <x:c r="D95" s="49" t="str">
        <x:v>兰亭</x:v>
      </x:c>
      <x:c r="E95" s="49" t="str">
        <x:v>留盟</x:v>
      </x:c>
      <x:c r="F95" s="49" t="str">
        <x:v>花晨</x:v>
      </x:c>
      <x:c r="G95" s="49" t="str">
        <x:v>花晨</x:v>
      </x:c>
      <x:c r="H95" s="37" t="n">
        <x:v>28.4</x:v>
      </x:c>
      <x:c r="I95" s="37" t="n">
        <x:v>28.4</x:v>
      </x:c>
      <x:c r="J95" s="40" t="n">
        <x:v>721</x:v>
      </x:c>
      <x:c r="K95" s="40" t="n">
        <x:v>734</x:v>
      </x:c>
      <x:c r="L95" s="40" t="n">
        <x:v>600</x:v>
      </x:c>
      <x:c r="M95" s="40" t="n">
        <x:v>507</x:v>
      </x:c>
      <x:c r="N95" s="40" t="n">
        <x:v>664</x:v>
      </x:c>
      <x:c r="O95" s="40" t="n">
        <x:v>601</x:v>
      </x:c>
      <x:c r="P95" s="40" t="n">
        <x:f>IF(COUNT(J95:O95)=0,"",SUM(J95:O95))</x:f>
        <x:v>3827</x:v>
      </x:c>
      <x:c r="Q95" s="40" t="n">
        <x:v>4415164352</x:v>
      </x:c>
      <x:c r="R95" s="40" t="n">
        <x:v>70790430</x:v>
      </x:c>
      <x:c r="S95" s="40" t="n">
        <x:v>224563070</x:v>
      </x:c>
      <x:c r="T95" s="40" t="n">
        <x:v>0</x:v>
      </x:c>
      <x:c r="U95" s="40" t="n">
        <x:v>58080</x:v>
      </x:c>
      <x:c r="V95" s="49" t="str">
        <x:v>宫阙3级</x:v>
      </x:c>
      <x:c r="W95" s="49" t="n">
        <x:v>1</x:v>
      </x:c>
      <x:c r="X95" s="52" t="n">
        <x:f>ROUND(100*(0.4*LN(1+Q95)/LN(1+MAX($Q$5:$Q$395))+0.35*R95/MAX($R$5:$R$395)+0.15*S95/MAX($S$5:$S$395)+IF(P95="",0,0.1*P95/MAX($P$5:$P$395)))/IF(P95="",0.9,1),1)</x:f>
        <x:v>68.8</x:v>
      </x:c>
      <x:c r="Y95" s="49" t="n">
        <x:f>RANK.EQ(X95,$X$5:$X$395,0)</x:f>
        <x:v>225</x:v>
      </x:c>
      <x:c r="Z95" s="34" t="str">
        <x:v>保留兰亭战斗骨干</x:v>
      </x:c>
      <x:c r="AA95" s="55"/>
    </x:row>
    <x:row r="96" ht="20" customHeight="1">
      <x:c r="A96" s="46" t="n">
        <x:v>263</x:v>
      </x:c>
      <x:c r="B96" s="27" t="str">
        <x:v>钓鱼佬</x:v>
      </x:c>
      <x:c r="C96" s="49" t="str">
        <x:v>兰亭</x:v>
      </x:c>
      <x:c r="D96" s="49" t="str">
        <x:v>兰亭</x:v>
      </x:c>
      <x:c r="E96" s="49" t="str">
        <x:v>留盟</x:v>
      </x:c>
      <x:c r="F96" s="49" t="str">
        <x:v>花晨</x:v>
      </x:c>
      <x:c r="G96" s="49" t="str">
        <x:v>兰亭</x:v>
      </x:c>
      <x:c r="H96" s="37" t="n">
        <x:v>28.8</x:v>
      </x:c>
      <x:c r="I96" s="37" t="n">
        <x:v>26.7</x:v>
      </x:c>
      <x:c r="J96" s="40" t="n">
        <x:v>713</x:v>
      </x:c>
      <x:c r="K96" s="40" t="n">
        <x:v>748</x:v>
      </x:c>
      <x:c r="L96" s="40" t="n">
        <x:v>541</x:v>
      </x:c>
      <x:c r="M96" s="40" t="n">
        <x:v>421</x:v>
      </x:c>
      <x:c r="N96" s="40" t="n">
        <x:v>731</x:v>
      </x:c>
      <x:c r="O96" s="40" t="n">
        <x:v>712</x:v>
      </x:c>
      <x:c r="P96" s="40" t="n">
        <x:f>IF(COUNT(J96:O96)=0,"",SUM(J96:O96))</x:f>
        <x:v>3866</x:v>
      </x:c>
      <x:c r="Q96" s="40" t="n">
        <x:v>2511129798</x:v>
      </x:c>
      <x:c r="R96" s="40" t="n">
        <x:v>73938470</x:v>
      </x:c>
      <x:c r="S96" s="40" t="n">
        <x:v>224613764</x:v>
      </x:c>
      <x:c r="T96" s="40" t="n">
        <x:v>0</x:v>
      </x:c>
      <x:c r="U96" s="40" t="n">
        <x:v>82800</x:v>
      </x:c>
      <x:c r="V96" s="49" t="str">
        <x:v>宫阙3级</x:v>
      </x:c>
      <x:c r="W96" s="49" t="n">
        <x:v>3</x:v>
      </x:c>
      <x:c r="X96" s="52" t="n">
        <x:f>ROUND(100*(0.4*LN(1+Q96)/LN(1+MAX($Q$5:$Q$395))+0.35*R96/MAX($R$5:$R$395)+0.15*S96/MAX($S$5:$S$395)+IF(P96="",0,0.1*P96/MAX($P$5:$P$395)))/IF(P96="",0.9,1),1)</x:f>
        <x:v>68.8</x:v>
      </x:c>
      <x:c r="Y96" s="49" t="n">
        <x:f>RANK.EQ(X96,$X$5:$X$395,0)</x:f>
        <x:v>225</x:v>
      </x:c>
      <x:c r="Z96" s="34" t="str">
        <x:v>保留兰亭战斗骨干</x:v>
      </x:c>
      <x:c r="AA96" s="55"/>
    </x:row>
    <x:row r="97" ht="20" customHeight="1">
      <x:c r="A97" s="46" t="n">
        <x:v>258</x:v>
      </x:c>
      <x:c r="B97" s="27" t="str">
        <x:v>云丨毛毛大王</x:v>
      </x:c>
      <x:c r="C97" s="49" t="str">
        <x:v>兰亭</x:v>
      </x:c>
      <x:c r="D97" s="49" t="str">
        <x:v>兰亭</x:v>
      </x:c>
      <x:c r="E97" s="49" t="str">
        <x:v>留盟</x:v>
      </x:c>
      <x:c r="F97" s="49" t="str"/>
      <x:c r="G97" s="49" t="str">
        <x:v>兰亭</x:v>
      </x:c>
      <x:c r="H97" s="37" t="n">
        <x:v>25.9</x:v>
      </x:c>
      <x:c r="I97" s="37" t="n">
        <x:v>25.9</x:v>
      </x:c>
      <x:c r="J97" s="40" t="n">
        <x:v>632</x:v>
      </x:c>
      <x:c r="K97" s="40" t="n">
        <x:v>588</x:v>
      </x:c>
      <x:c r="L97" s="40" t="n">
        <x:v>620</x:v>
      </x:c>
      <x:c r="M97" s="40" t="n">
        <x:v>538</x:v>
      </x:c>
      <x:c r="N97" s="40" t="n">
        <x:v>645</x:v>
      </x:c>
      <x:c r="O97" s="40" t="n">
        <x:v>500</x:v>
      </x:c>
      <x:c r="P97" s="40" t="n">
        <x:f>IF(COUNT(J97:O97)=0,"",SUM(J97:O97))</x:f>
        <x:v>3523</x:v>
      </x:c>
      <x:c r="Q97" s="40" t="n">
        <x:v>2993751480</x:v>
      </x:c>
      <x:c r="R97" s="40" t="n">
        <x:v>72719625</x:v>
      </x:c>
      <x:c r="S97" s="40" t="n">
        <x:v>236348580</x:v>
      </x:c>
      <x:c r="T97" s="40" t="n">
        <x:v>0</x:v>
      </x:c>
      <x:c r="U97" s="40" t="n">
        <x:v>146160</x:v>
      </x:c>
      <x:c r="V97" s="49" t="str">
        <x:v>宫阙3级</x:v>
      </x:c>
      <x:c r="W97" s="49" t="n">
        <x:v>3</x:v>
      </x:c>
      <x:c r="X97" s="52" t="n">
        <x:f>ROUND(100*(0.4*LN(1+Q97)/LN(1+MAX($Q$5:$Q$395))+0.35*R97/MAX($R$5:$R$395)+0.15*S97/MAX($S$5:$S$395)+IF(P97="",0,0.1*P97/MAX($P$5:$P$395)))/IF(P97="",0.9,1),1)</x:f>
        <x:v>68.5</x:v>
      </x:c>
      <x:c r="Y97" s="49" t="n">
        <x:f>RANK.EQ(X97,$X$5:$X$395,0)</x:f>
        <x:v>227</x:v>
      </x:c>
      <x:c r="Z97" s="34" t="str">
        <x:v>保留兰亭战斗骨干</x:v>
      </x:c>
      <x:c r="AA97" s="55" t="str">
        <x:v>名称对应：毛毛大王</x:v>
      </x:c>
    </x:row>
    <x:row r="98" ht="20" customHeight="1">
      <x:c r="A98" s="46" t="n">
        <x:v>257</x:v>
      </x:c>
      <x:c r="B98" s="27" t="str">
        <x:v>咖啡不加奶</x:v>
      </x:c>
      <x:c r="C98" s="49" t="str">
        <x:v>兰亭</x:v>
      </x:c>
      <x:c r="D98" s="49" t="str">
        <x:v>兰亭</x:v>
      </x:c>
      <x:c r="E98" s="49" t="str">
        <x:v>留盟</x:v>
      </x:c>
      <x:c r="F98" s="49" t="str">
        <x:v>玲珑</x:v>
      </x:c>
      <x:c r="G98" s="49"/>
      <x:c r="H98" s="37"/>
      <x:c r="I98" s="37"/>
      <x:c r="J98" s="40"/>
      <x:c r="K98" s="40"/>
      <x:c r="L98" s="40"/>
      <x:c r="M98" s="40"/>
      <x:c r="N98" s="40"/>
      <x:c r="O98" s="40"/>
      <x:c r="P98" s="40" t="str">
        <x:f>IF(COUNT(J98:O98)=0,"",SUM(J98:O98))</x:f>
      </x:c>
      <x:c r="Q98" s="40" t="n">
        <x:v>3003852158</x:v>
      </x:c>
      <x:c r="R98" s="40" t="n">
        <x:v>72105991</x:v>
      </x:c>
      <x:c r="S98" s="40" t="n">
        <x:v>189965665</x:v>
      </x:c>
      <x:c r="T98" s="40" t="n">
        <x:v>0</x:v>
      </x:c>
      <x:c r="U98" s="40" t="n">
        <x:v>151200</x:v>
      </x:c>
      <x:c r="V98" s="49" t="str">
        <x:v>宫阙3级</x:v>
      </x:c>
      <x:c r="W98" s="49" t="n">
        <x:v>3</x:v>
      </x:c>
      <x:c r="X98" s="52" t="n">
        <x:f>ROUND(100*(0.4*LN(1+Q98)/LN(1+MAX($Q$5:$Q$395))+0.35*R98/MAX($R$5:$R$395)+0.15*S98/MAX($S$5:$S$395)+IF(P98="",0,0.1*P98/MAX($P$5:$P$395)))/IF(P98="",0.9,1),1)</x:f>
        <x:v>68.4</x:v>
      </x:c>
      <x:c r="Y98" s="49" t="n">
        <x:f>RANK.EQ(X98,$X$5:$X$395,0)</x:f>
        <x:v>228</x:v>
      </x:c>
      <x:c r="Z98" s="34" t="str">
        <x:v>保留兰亭战斗骨干</x:v>
      </x:c>
      <x:c r="AA98" s="55" t="str">
        <x:v>六维未匹配</x:v>
      </x:c>
    </x:row>
    <x:row r="99" ht="20" customHeight="1">
      <x:c r="A99" s="46" t="n">
        <x:v>264</x:v>
      </x:c>
      <x:c r="B99" s="27" t="str">
        <x:v>苍耳儿</x:v>
      </x:c>
      <x:c r="C99" s="49" t="str">
        <x:v>兰亭</x:v>
      </x:c>
      <x:c r="D99" s="49" t="str">
        <x:v>兰亭</x:v>
      </x:c>
      <x:c r="E99" s="49" t="str">
        <x:v>留盟</x:v>
      </x:c>
      <x:c r="F99" s="49" t="str"/>
      <x:c r="G99" s="49"/>
      <x:c r="H99" s="37" t="n">
        <x:v>25.8</x:v>
      </x:c>
      <x:c r="I99" s="37" t="n">
        <x:v>25.5</x:v>
      </x:c>
      <x:c r="J99" s="40" t="n">
        <x:v>630</x:v>
      </x:c>
      <x:c r="K99" s="40" t="n">
        <x:v>628</x:v>
      </x:c>
      <x:c r="L99" s="40" t="n">
        <x:v>601</x:v>
      </x:c>
      <x:c r="M99" s="40" t="n">
        <x:v>526</x:v>
      </x:c>
      <x:c r="N99" s="40" t="n">
        <x:v>675</x:v>
      </x:c>
      <x:c r="O99" s="40" t="n">
        <x:v>557</x:v>
      </x:c>
      <x:c r="P99" s="40" t="n">
        <x:f>IF(COUNT(J99:O99)=0,"",SUM(J99:O99))</x:f>
        <x:v>3617</x:v>
      </x:c>
      <x:c r="Q99" s="40" t="n">
        <x:v>2375889108</x:v>
      </x:c>
      <x:c r="R99" s="40" t="n">
        <x:v>73888042</x:v>
      </x:c>
      <x:c r="S99" s="40" t="n">
        <x:v>223048576</x:v>
      </x:c>
      <x:c r="T99" s="40" t="n">
        <x:v>0</x:v>
      </x:c>
      <x:c r="U99" s="40" t="n">
        <x:v>162000</x:v>
      </x:c>
      <x:c r="V99" s="49" t="str">
        <x:v>宫阙3级</x:v>
      </x:c>
      <x:c r="W99" s="49" t="n">
        <x:v>3</x:v>
      </x:c>
      <x:c r="X99" s="52" t="n">
        <x:f>ROUND(100*(0.4*LN(1+Q99)/LN(1+MAX($Q$5:$Q$395))+0.35*R99/MAX($R$5:$R$395)+0.15*S99/MAX($S$5:$S$395)+IF(P99="",0,0.1*P99/MAX($P$5:$P$395)))/IF(P99="",0.9,1),1)</x:f>
        <x:v>68.2</x:v>
      </x:c>
      <x:c r="Y99" s="49" t="n">
        <x:f>RANK.EQ(X99,$X$5:$X$395,0)</x:f>
        <x:v>229</x:v>
      </x:c>
      <x:c r="Z99" s="34" t="str">
        <x:v>保留兰亭战斗骨干</x:v>
      </x:c>
      <x:c r="AA99" s="55"/>
    </x:row>
    <x:row r="100" ht="20" customHeight="1">
      <x:c r="A100" s="46" t="n">
        <x:v>273</x:v>
      </x:c>
      <x:c r="B100" s="27" t="str">
        <x:v>云里雾里</x:v>
      </x:c>
      <x:c r="C100" s="49" t="str">
        <x:v>兰亭</x:v>
      </x:c>
      <x:c r="D100" s="49" t="str">
        <x:v>兰亭</x:v>
      </x:c>
      <x:c r="E100" s="49" t="str">
        <x:v>留盟</x:v>
      </x:c>
      <x:c r="F100" s="49" t="str"/>
      <x:c r="G100" s="49" t="str">
        <x:v>随便</x:v>
      </x:c>
      <x:c r="H100" s="37" t="n">
        <x:v>25.6</x:v>
      </x:c>
      <x:c r="I100" s="37" t="n">
        <x:v>24.2</x:v>
      </x:c>
      <x:c r="J100" s="40" t="n">
        <x:v>682</x:v>
      </x:c>
      <x:c r="K100" s="40" t="n">
        <x:v>724</x:v>
      </x:c>
      <x:c r="L100" s="40" t="n">
        <x:v>598</x:v>
      </x:c>
      <x:c r="M100" s="40" t="n">
        <x:v>517</x:v>
      </x:c>
      <x:c r="N100" s="40" t="n">
        <x:v>654</x:v>
      </x:c>
      <x:c r="O100" s="40" t="n">
        <x:v>706</x:v>
      </x:c>
      <x:c r="P100" s="40" t="n">
        <x:f>IF(COUNT(J100:O100)=0,"",SUM(J100:O100))</x:f>
        <x:v>3881</x:v>
      </x:c>
      <x:c r="Q100" s="40" t="n">
        <x:v>1902946701</x:v>
      </x:c>
      <x:c r="R100" s="40" t="n">
        <x:v>71073781</x:v>
      </x:c>
      <x:c r="S100" s="40" t="n">
        <x:v>245324782</x:v>
      </x:c>
      <x:c r="T100" s="40" t="n">
        <x:v>0</x:v>
      </x:c>
      <x:c r="U100" s="40" t="n">
        <x:v>171840</x:v>
      </x:c>
      <x:c r="V100" s="49" t="str">
        <x:v>宫阙3级</x:v>
      </x:c>
      <x:c r="W100" s="49" t="n">
        <x:v>2</x:v>
      </x:c>
      <x:c r="X100" s="52" t="n">
        <x:f>ROUND(100*(0.4*LN(1+Q100)/LN(1+MAX($Q$5:$Q$395))+0.35*R100/MAX($R$5:$R$395)+0.15*S100/MAX($S$5:$S$395)+IF(P100="",0,0.1*P100/MAX($P$5:$P$395)))/IF(P100="",0.9,1),1)</x:f>
        <x:v>68.2</x:v>
      </x:c>
      <x:c r="Y100" s="49" t="n">
        <x:f>RANK.EQ(X100,$X$5:$X$395,0)</x:f>
        <x:v>229</x:v>
      </x:c>
      <x:c r="Z100" s="34" t="str">
        <x:v>保留兰亭战斗骨干</x:v>
      </x:c>
      <x:c r="AA100" s="55"/>
    </x:row>
    <x:row r="101" ht="20" customHeight="1">
      <x:c r="A101" s="46" t="n">
        <x:v>281</x:v>
      </x:c>
      <x:c r="B101" s="27" t="str">
        <x:v>叫啥来着</x:v>
      </x:c>
      <x:c r="C101" s="49" t="str">
        <x:v>兰亭</x:v>
      </x:c>
      <x:c r="D101" s="49" t="str">
        <x:v>兰亭</x:v>
      </x:c>
      <x:c r="E101" s="49" t="str">
        <x:v>留盟</x:v>
      </x:c>
      <x:c r="F101" s="49" t="str"/>
      <x:c r="G101" s="49"/>
      <x:c r="H101" s="37"/>
      <x:c r="I101" s="37"/>
      <x:c r="J101" s="40"/>
      <x:c r="K101" s="40"/>
      <x:c r="L101" s="40"/>
      <x:c r="M101" s="40"/>
      <x:c r="N101" s="40"/>
      <x:c r="O101" s="40"/>
      <x:c r="P101" s="40" t="str">
        <x:f>IF(COUNT(J101:O101)=0,"",SUM(J101:O101))</x:f>
      </x:c>
      <x:c r="Q101" s="40" t="n">
        <x:v>1204856282</x:v>
      </x:c>
      <x:c r="R101" s="40" t="n">
        <x:v>73126243</x:v>
      </x:c>
      <x:c r="S101" s="40" t="n">
        <x:v>222975071</x:v>
      </x:c>
      <x:c r="T101" s="40" t="n">
        <x:v>0</x:v>
      </x:c>
      <x:c r="U101" s="40" t="n">
        <x:v>56160</x:v>
      </x:c>
      <x:c r="V101" s="49" t="str">
        <x:v>宫阙3级</x:v>
      </x:c>
      <x:c r="W101" s="49" t="n">
        <x:v>3</x:v>
      </x:c>
      <x:c r="X101" s="52" t="n">
        <x:f>ROUND(100*(0.4*LN(1+Q101)/LN(1+MAX($Q$5:$Q$395))+0.35*R101/MAX($R$5:$R$395)+0.15*S101/MAX($S$5:$S$395)+IF(P101="",0,0.1*P101/MAX($P$5:$P$395)))/IF(P101="",0.9,1),1)</x:f>
        <x:v>68</x:v>
      </x:c>
      <x:c r="Y101" s="49" t="n">
        <x:f>RANK.EQ(X101,$X$5:$X$395,0)</x:f>
        <x:v>235</x:v>
      </x:c>
      <x:c r="Z101" s="34" t="str">
        <x:v>保留兰亭战斗骨干</x:v>
      </x:c>
      <x:c r="AA101" s="55" t="str">
        <x:v>六维未匹配</x:v>
      </x:c>
    </x:row>
    <x:row r="102" ht="20" customHeight="1">
      <x:c r="A102" s="46" t="n">
        <x:v>15</x:v>
      </x:c>
      <x:c r="B102" s="27" t="str">
        <x:v>摆烂小伙呀</x:v>
      </x:c>
      <x:c r="C102" s="49" t="str">
        <x:v>花晨</x:v>
      </x:c>
      <x:c r="D102" s="49" t="str">
        <x:v>花晨</x:v>
      </x:c>
      <x:c r="E102" s="49" t="str">
        <x:v>留盟</x:v>
      </x:c>
      <x:c r="F102" s="49" t="str"/>
      <x:c r="G102" s="49"/>
      <x:c r="H102" s="37"/>
      <x:c r="I102" s="37"/>
      <x:c r="J102" s="40"/>
      <x:c r="K102" s="40"/>
      <x:c r="L102" s="40"/>
      <x:c r="M102" s="40"/>
      <x:c r="N102" s="40"/>
      <x:c r="O102" s="40"/>
      <x:c r="P102" s="40" t="str">
        <x:f>IF(COUNT(J102:O102)=0,"",SUM(J102:O102))</x:f>
      </x:c>
      <x:c r="Q102" s="40" t="n">
        <x:v>6519342098</x:v>
      </x:c>
      <x:c r="R102" s="40" t="n">
        <x:v>111712032</x:v>
      </x:c>
      <x:c r="S102" s="40" t="n">
        <x:v>315929005</x:v>
      </x:c>
      <x:c r="T102" s="40" t="n">
        <x:v>0</x:v>
      </x:c>
      <x:c r="U102" s="40" t="n">
        <x:v>113640</x:v>
      </x:c>
      <x:c r="V102" s="49" t="str">
        <x:v>宫阙3级</x:v>
      </x:c>
      <x:c r="W102" s="49" t="n">
        <x:v>4</x:v>
      </x:c>
      <x:c r="X102" s="52" t="n">
        <x:f>ROUND(100*(0.4*LN(1+Q102)/LN(1+MAX($Q$5:$Q$395))+0.35*R102/MAX($R$5:$R$395)+0.15*S102/MAX($S$5:$S$395)+IF(P102="",0,0.1*P102/MAX($P$5:$P$395)))/IF(P102="",0.9,1),1)</x:f>
        <x:v>85.3</x:v>
      </x:c>
      <x:c r="Y102" s="49" t="n">
        <x:f>RANK.EQ(X102,$X$5:$X$395,0)</x:f>
        <x:v>18</x:v>
      </x:c>
      <x:c r="Z102" s="34" t="str">
        <x:v>保持当前盟，减少迁移成本</x:v>
      </x:c>
      <x:c r="AA102" s="55" t="str">
        <x:v>六维未匹配</x:v>
      </x:c>
    </x:row>
    <x:row r="103" ht="20" customHeight="1">
      <x:c r="A103" s="46" t="n">
        <x:v>14</x:v>
      </x:c>
      <x:c r="B103" s="27" t="str">
        <x:v>可爱仔</x:v>
      </x:c>
      <x:c r="C103" s="49" t="str">
        <x:v>花晨</x:v>
      </x:c>
      <x:c r="D103" s="49" t="str">
        <x:v>花晨</x:v>
      </x:c>
      <x:c r="E103" s="49" t="str">
        <x:v>留盟</x:v>
      </x:c>
      <x:c r="F103" s="49" t="str">
        <x:v>花晨</x:v>
      </x:c>
      <x:c r="G103" s="49"/>
      <x:c r="H103" s="37"/>
      <x:c r="I103" s="37"/>
      <x:c r="J103" s="40"/>
      <x:c r="K103" s="40"/>
      <x:c r="L103" s="40"/>
      <x:c r="M103" s="40"/>
      <x:c r="N103" s="40"/>
      <x:c r="O103" s="40"/>
      <x:c r="P103" s="40" t="str">
        <x:f>IF(COUNT(J103:O103)=0,"",SUM(J103:O103))</x:f>
      </x:c>
      <x:c r="Q103" s="40" t="n">
        <x:v>7490256574</x:v>
      </x:c>
      <x:c r="R103" s="40" t="n">
        <x:v>95153540</x:v>
      </x:c>
      <x:c r="S103" s="40" t="n">
        <x:v>367007309</x:v>
      </x:c>
      <x:c r="T103" s="40" t="n">
        <x:v>0</x:v>
      </x:c>
      <x:c r="U103" s="40" t="n">
        <x:v>45840</x:v>
      </x:c>
      <x:c r="V103" s="49" t="str">
        <x:v>宫阙3级</x:v>
      </x:c>
      <x:c r="W103" s="49" t="n">
        <x:v>1</x:v>
      </x:c>
      <x:c r="X103" s="52" t="n">
        <x:f>ROUND(100*(0.4*LN(1+Q103)/LN(1+MAX($Q$5:$Q$395))+0.35*R103/MAX($R$5:$R$395)+0.15*S103/MAX($S$5:$S$395)+IF(P103="",0,0.1*P103/MAX($P$5:$P$395)))/IF(P103="",0.9,1),1)</x:f>
        <x:v>82.5</x:v>
      </x:c>
      <x:c r="Y103" s="49" t="n">
        <x:f>RANK.EQ(X103,$X$5:$X$395,0)</x:f>
        <x:v>29</x:v>
      </x:c>
      <x:c r="Z103" s="34" t="str">
        <x:v>保持当前盟，减少迁移成本</x:v>
      </x:c>
      <x:c r="AA103" s="55" t="str">
        <x:v>六维未匹配</x:v>
      </x:c>
    </x:row>
    <x:row r="104" ht="20" customHeight="1">
      <x:c r="A104" s="46" t="n">
        <x:v>40</x:v>
      </x:c>
      <x:c r="B104" s="27" t="str">
        <x:v>野小马001</x:v>
      </x:c>
      <x:c r="C104" s="49" t="str">
        <x:v>花晨</x:v>
      </x:c>
      <x:c r="D104" s="49" t="str">
        <x:v>花晨</x:v>
      </x:c>
      <x:c r="E104" s="49" t="str">
        <x:v>留盟</x:v>
      </x:c>
      <x:c r="F104" s="49" t="str">
        <x:v>花晨</x:v>
      </x:c>
      <x:c r="G104" s="49" t="str">
        <x:v>兰亭</x:v>
      </x:c>
      <x:c r="H104" s="37" t="n">
        <x:v>28.8</x:v>
      </x:c>
      <x:c r="I104" s="37" t="n">
        <x:v>28.8</x:v>
      </x:c>
      <x:c r="J104" s="40" t="n">
        <x:v>800</x:v>
      </x:c>
      <x:c r="K104" s="40" t="n">
        <x:v>961</x:v>
      </x:c>
      <x:c r="L104" s="40" t="n">
        <x:v>702</x:v>
      </x:c>
      <x:c r="M104" s="40" t="n">
        <x:v>565</x:v>
      </x:c>
      <x:c r="N104" s="40" t="n">
        <x:v>690</x:v>
      </x:c>
      <x:c r="O104" s="40" t="n">
        <x:v>780</x:v>
      </x:c>
      <x:c r="P104" s="40" t="n">
        <x:f>IF(COUNT(J104:O104)=0,"",SUM(J104:O104))</x:f>
        <x:v>4498</x:v>
      </x:c>
      <x:c r="Q104" s="40" t="n">
        <x:v>3015477890</x:v>
      </x:c>
      <x:c r="R104" s="40" t="n">
        <x:v>99302905</x:v>
      </x:c>
      <x:c r="S104" s="40" t="n">
        <x:v>370820051</x:v>
      </x:c>
      <x:c r="T104" s="40" t="n">
        <x:v>0</x:v>
      </x:c>
      <x:c r="U104" s="40" t="n">
        <x:v>63280</x:v>
      </x:c>
      <x:c r="V104" s="49" t="str">
        <x:v>宫阙3级</x:v>
      </x:c>
      <x:c r="W104" s="49" t="n">
        <x:v>1</x:v>
      </x:c>
      <x:c r="X104" s="52" t="n">
        <x:f>ROUND(100*(0.4*LN(1+Q104)/LN(1+MAX($Q$5:$Q$395))+0.35*R104/MAX($R$5:$R$395)+0.15*S104/MAX($S$5:$S$395)+IF(P104="",0,0.1*P104/MAX($P$5:$P$395)))/IF(P104="",0.9,1),1)</x:f>
        <x:v>80.9</x:v>
      </x:c>
      <x:c r="Y104" s="49" t="n">
        <x:f>RANK.EQ(X104,$X$5:$X$395,0)</x:f>
        <x:v>36</x:v>
      </x:c>
      <x:c r="Z104" s="34" t="str">
        <x:v>保持当前盟，减少迁移成本</x:v>
      </x:c>
      <x:c r="AA104" s="55" t="str">
        <x:v>名称对应：野小马</x:v>
      </x:c>
    </x:row>
    <x:row r="105" ht="20" customHeight="1">
      <x:c r="A105" s="46" t="n">
        <x:v>2</x:v>
      </x:c>
      <x:c r="B105" s="27" t="str">
        <x:v>厌世小蘑菇</x:v>
      </x:c>
      <x:c r="C105" s="49" t="str">
        <x:v>花晨</x:v>
      </x:c>
      <x:c r="D105" s="49" t="str">
        <x:v>花晨</x:v>
      </x:c>
      <x:c r="E105" s="49" t="str">
        <x:v>留盟</x:v>
      </x:c>
      <x:c r="F105" s="49" t="str">
        <x:v>花晨</x:v>
      </x:c>
      <x:c r="G105" s="49"/>
      <x:c r="H105" s="37"/>
      <x:c r="I105" s="37"/>
      <x:c r="J105" s="40"/>
      <x:c r="K105" s="40"/>
      <x:c r="L105" s="40"/>
      <x:c r="M105" s="40"/>
      <x:c r="N105" s="40"/>
      <x:c r="O105" s="40"/>
      <x:c r="P105" s="40" t="str">
        <x:f>IF(COUNT(J105:O105)=0,"",SUM(J105:O105))</x:f>
      </x:c>
      <x:c r="Q105" s="40" t="n">
        <x:v>12632400144</x:v>
      </x:c>
      <x:c r="R105" s="40" t="n">
        <x:v>91384160</x:v>
      </x:c>
      <x:c r="S105" s="40" t="n">
        <x:v>257626912</x:v>
      </x:c>
      <x:c r="T105" s="40" t="n">
        <x:v>0</x:v>
      </x:c>
      <x:c r="U105" s="40" t="n">
        <x:v>96240</x:v>
      </x:c>
      <x:c r="V105" s="49" t="str">
        <x:v>宫阙3级</x:v>
      </x:c>
      <x:c r="W105" s="49" t="n">
        <x:v>1</x:v>
      </x:c>
      <x:c r="X105" s="52" t="n">
        <x:f>ROUND(100*(0.4*LN(1+Q105)/LN(1+MAX($Q$5:$Q$395))+0.35*R105/MAX($R$5:$R$395)+0.15*S105/MAX($S$5:$S$395)+IF(P105="",0,0.1*P105/MAX($P$5:$P$395)))/IF(P105="",0.9,1),1)</x:f>
        <x:v>78.8</x:v>
      </x:c>
      <x:c r="Y105" s="49" t="n">
        <x:f>RANK.EQ(X105,$X$5:$X$395,0)</x:f>
        <x:v>45</x:v>
      </x:c>
      <x:c r="Z105" s="34" t="str">
        <x:v>保持当前盟，减少迁移成本</x:v>
      </x:c>
      <x:c r="AA105" s="55" t="str">
        <x:v>六维未匹配</x:v>
      </x:c>
    </x:row>
    <x:row r="106" ht="20" customHeight="1">
      <x:c r="A106" s="46" t="n">
        <x:v>21</x:v>
      </x:c>
      <x:c r="B106" s="27" t="str">
        <x:v>笑吻红尘客栈</x:v>
      </x:c>
      <x:c r="C106" s="49" t="str">
        <x:v>花晨</x:v>
      </x:c>
      <x:c r="D106" s="49" t="str">
        <x:v>花晨</x:v>
      </x:c>
      <x:c r="E106" s="49" t="str">
        <x:v>留盟</x:v>
      </x:c>
      <x:c r="F106" s="49" t="str">
        <x:v>花晨</x:v>
      </x:c>
      <x:c r="G106" s="49" t="str">
        <x:v>兰亭</x:v>
      </x:c>
      <x:c r="H106" s="37" t="n">
        <x:v>26.2</x:v>
      </x:c>
      <x:c r="I106" s="37" t="n">
        <x:v>25.3</x:v>
      </x:c>
      <x:c r="J106" s="40" t="n">
        <x:v>831</x:v>
      </x:c>
      <x:c r="K106" s="40" t="n">
        <x:v>866</x:v>
      </x:c>
      <x:c r="L106" s="40" t="n">
        <x:v>641</x:v>
      </x:c>
      <x:c r="M106" s="40" t="n">
        <x:v>606</x:v>
      </x:c>
      <x:c r="N106" s="40" t="n">
        <x:v>639</x:v>
      </x:c>
      <x:c r="O106" s="40" t="n">
        <x:v>775</x:v>
      </x:c>
      <x:c r="P106" s="40" t="n">
        <x:f>IF(COUNT(J106:O106)=0,"",SUM(J106:O106))</x:f>
        <x:v>4358</x:v>
      </x:c>
      <x:c r="Q106" s="40" t="n">
        <x:v>5004989952</x:v>
      </x:c>
      <x:c r="R106" s="40" t="n">
        <x:v>96363986</x:v>
      </x:c>
      <x:c r="S106" s="40" t="n">
        <x:v>299824062</x:v>
      </x:c>
      <x:c r="T106" s="40" t="n">
        <x:v>0</x:v>
      </x:c>
      <x:c r="U106" s="40" t="n">
        <x:v>115440</x:v>
      </x:c>
      <x:c r="V106" s="49" t="str">
        <x:v>宫阙3级</x:v>
      </x:c>
      <x:c r="W106" s="49" t="n">
        <x:v>1</x:v>
      </x:c>
      <x:c r="X106" s="52" t="n">
        <x:f>ROUND(100*(0.4*LN(1+Q106)/LN(1+MAX($Q$5:$Q$395))+0.35*R106/MAX($R$5:$R$395)+0.15*S106/MAX($S$5:$S$395)+IF(P106="",0,0.1*P106/MAX($P$5:$P$395)))/IF(P106="",0.9,1),1)</x:f>
        <x:v>78.7</x:v>
      </x:c>
      <x:c r="Y106" s="49" t="n">
        <x:f>RANK.EQ(X106,$X$5:$X$395,0)</x:f>
        <x:v>48</x:v>
      </x:c>
      <x:c r="Z106" s="34" t="str">
        <x:v>保持当前盟，减少迁移成本</x:v>
      </x:c>
      <x:c r="AA106" s="55"/>
    </x:row>
    <x:row r="107" ht="20" customHeight="1">
      <x:c r="A107" s="46" t="n">
        <x:v>5</x:v>
      </x:c>
      <x:c r="B107" s="27" t="str">
        <x:v>汉堡包#937</x:v>
      </x:c>
      <x:c r="C107" s="49" t="str">
        <x:v>花晨</x:v>
      </x:c>
      <x:c r="D107" s="49" t="str">
        <x:v>花晨</x:v>
      </x:c>
      <x:c r="E107" s="49" t="str">
        <x:v>留盟</x:v>
      </x:c>
      <x:c r="F107" s="49" t="str">
        <x:v>花晨</x:v>
      </x:c>
      <x:c r="G107" s="49" t="str">
        <x:v>兰亭</x:v>
      </x:c>
      <x:c r="H107" s="37" t="n">
        <x:v>23.7</x:v>
      </x:c>
      <x:c r="I107" s="37" t="n">
        <x:v>23.1</x:v>
      </x:c>
      <x:c r="J107" s="40" t="n">
        <x:v>767</x:v>
      </x:c>
      <x:c r="K107" s="40" t="n">
        <x:v>1034</x:v>
      </x:c>
      <x:c r="L107" s="40" t="n">
        <x:v>682</x:v>
      </x:c>
      <x:c r="M107" s="40" t="n">
        <x:v>800</x:v>
      </x:c>
      <x:c r="N107" s="40" t="n">
        <x:v>763</x:v>
      </x:c>
      <x:c r="O107" s="40" t="n">
        <x:v>918</x:v>
      </x:c>
      <x:c r="P107" s="40" t="n">
        <x:f>IF(COUNT(J107:O107)=0,"",SUM(J107:O107))</x:f>
        <x:v>4964</x:v>
      </x:c>
      <x:c r="Q107" s="40" t="n">
        <x:v>9944455120</x:v>
      </x:c>
      <x:c r="R107" s="40" t="n">
        <x:v>89128557</x:v>
      </x:c>
      <x:c r="S107" s="40" t="n">
        <x:v>287691276</x:v>
      </x:c>
      <x:c r="T107" s="40" t="n">
        <x:v>0</x:v>
      </x:c>
      <x:c r="U107" s="40" t="n">
        <x:v>116200</x:v>
      </x:c>
      <x:c r="V107" s="49" t="str">
        <x:v>宫阙3级</x:v>
      </x:c>
      <x:c r="W107" s="49" t="n">
        <x:v>1</x:v>
      </x:c>
      <x:c r="X107" s="52" t="n">
        <x:f>ROUND(100*(0.4*LN(1+Q107)/LN(1+MAX($Q$5:$Q$395))+0.35*R107/MAX($R$5:$R$395)+0.15*S107/MAX($S$5:$S$395)+IF(P107="",0,0.1*P107/MAX($P$5:$P$395)))/IF(P107="",0.9,1),1)</x:f>
        <x:v>78.6</x:v>
      </x:c>
      <x:c r="Y107" s="49" t="n">
        <x:f>RANK.EQ(X107,$X$5:$X$395,0)</x:f>
        <x:v>49</x:v>
      </x:c>
      <x:c r="Z107" s="34" t="str">
        <x:v>保持当前盟，减少迁移成本</x:v>
      </x:c>
      <x:c r="AA107" s="55" t="str">
        <x:v>名称对应：汉堡包</x:v>
      </x:c>
    </x:row>
    <x:row r="108" ht="20" customHeight="1">
      <x:c r="A108" s="46" t="n">
        <x:v>66</x:v>
      </x:c>
      <x:c r="B108" s="27" t="str">
        <x:v>缺啥来啥</x:v>
      </x:c>
      <x:c r="C108" s="49" t="str">
        <x:v>花晨</x:v>
      </x:c>
      <x:c r="D108" s="49" t="str">
        <x:v>花晨</x:v>
      </x:c>
      <x:c r="E108" s="49" t="str">
        <x:v>留盟</x:v>
      </x:c>
      <x:c r="F108" s="49" t="str">
        <x:v>燕云</x:v>
      </x:c>
      <x:c r="G108" s="49"/>
      <x:c r="H108" s="37"/>
      <x:c r="I108" s="37"/>
      <x:c r="J108" s="40"/>
      <x:c r="K108" s="40"/>
      <x:c r="L108" s="40"/>
      <x:c r="M108" s="40"/>
      <x:c r="N108" s="40"/>
      <x:c r="O108" s="40"/>
      <x:c r="P108" s="40" t="str">
        <x:f>IF(COUNT(J108:O108)=0,"",SUM(J108:O108))</x:f>
      </x:c>
      <x:c r="Q108" s="40" t="n">
        <x:v>1779340202</x:v>
      </x:c>
      <x:c r="R108" s="40" t="n">
        <x:v>92927848</x:v>
      </x:c>
      <x:c r="S108" s="40" t="n">
        <x:v>347777515</x:v>
      </x:c>
      <x:c r="T108" s="40" t="n">
        <x:v>0</x:v>
      </x:c>
      <x:c r="U108" s="40" t="n">
        <x:v>125200</x:v>
      </x:c>
      <x:c r="V108" s="49" t="str">
        <x:v>宫阙3级</x:v>
      </x:c>
      <x:c r="W108" s="49" t="n">
        <x:v>2</x:v>
      </x:c>
      <x:c r="X108" s="52" t="n">
        <x:f>ROUND(100*(0.4*LN(1+Q108)/LN(1+MAX($Q$5:$Q$395))+0.35*R108/MAX($R$5:$R$395)+0.15*S108/MAX($S$5:$S$395)+IF(P108="",0,0.1*P108/MAX($P$5:$P$395)))/IF(P108="",0.9,1),1)</x:f>
        <x:v>78.5</x:v>
      </x:c>
      <x:c r="Y108" s="49" t="n">
        <x:f>RANK.EQ(X108,$X$5:$X$395,0)</x:f>
        <x:v>52</x:v>
      </x:c>
      <x:c r="Z108" s="34" t="str">
        <x:v>保持当前盟，减少迁移成本</x:v>
      </x:c>
      <x:c r="AA108" s="55" t="str">
        <x:v>六维未匹配</x:v>
      </x:c>
    </x:row>
    <x:row r="109" ht="20" customHeight="1">
      <x:c r="A109" s="46" t="n">
        <x:v>48</x:v>
      </x:c>
      <x:c r="B109" s="27" t="str">
        <x:v>空山居</x:v>
      </x:c>
      <x:c r="C109" s="49" t="str">
        <x:v>花晨</x:v>
      </x:c>
      <x:c r="D109" s="49" t="str">
        <x:v>花晨</x:v>
      </x:c>
      <x:c r="E109" s="49" t="str">
        <x:v>留盟</x:v>
      </x:c>
      <x:c r="F109" s="49" t="str">
        <x:v>花晨</x:v>
      </x:c>
      <x:c r="G109" s="49" t="str">
        <x:v>花晨</x:v>
      </x:c>
      <x:c r="H109" s="37" t="n">
        <x:v>28.6</x:v>
      </x:c>
      <x:c r="I109" s="37" t="n">
        <x:v>28.6</x:v>
      </x:c>
      <x:c r="J109" s="40" t="n">
        <x:v>832</x:v>
      </x:c>
      <x:c r="K109" s="40" t="n">
        <x:v>800</x:v>
      </x:c>
      <x:c r="L109" s="40" t="n">
        <x:v>701</x:v>
      </x:c>
      <x:c r="M109" s="40" t="n">
        <x:v>669</x:v>
      </x:c>
      <x:c r="N109" s="40" t="n">
        <x:v>753</x:v>
      </x:c>
      <x:c r="O109" s="40" t="n">
        <x:v>773</x:v>
      </x:c>
      <x:c r="P109" s="40" t="n">
        <x:f>IF(COUNT(J109:O109)=0,"",SUM(J109:O109))</x:f>
        <x:v>4528</x:v>
      </x:c>
      <x:c r="Q109" s="40" t="n">
        <x:v>2574588950</x:v>
      </x:c>
      <x:c r="R109" s="40" t="n">
        <x:v>96963031</x:v>
      </x:c>
      <x:c r="S109" s="40" t="n">
        <x:v>309618614</x:v>
      </x:c>
      <x:c r="T109" s="40" t="n">
        <x:v>0</x:v>
      </x:c>
      <x:c r="U109" s="40" t="n">
        <x:v>90240</x:v>
      </x:c>
      <x:c r="V109" s="49" t="str">
        <x:v>宫阙3级</x:v>
      </x:c>
      <x:c r="W109" s="49" t="n">
        <x:v>1</x:v>
      </x:c>
      <x:c r="X109" s="52" t="n">
        <x:f>ROUND(100*(0.4*LN(1+Q109)/LN(1+MAX($Q$5:$Q$395))+0.35*R109/MAX($R$5:$R$395)+0.15*S109/MAX($S$5:$S$395)+IF(P109="",0,0.1*P109/MAX($P$5:$P$395)))/IF(P109="",0.9,1),1)</x:f>
        <x:v>78.3</x:v>
      </x:c>
      <x:c r="Y109" s="49" t="n">
        <x:f>RANK.EQ(X109,$X$5:$X$395,0)</x:f>
        <x:v>54</x:v>
      </x:c>
      <x:c r="Z109" s="34" t="str">
        <x:v>保持当前盟，减少迁移成本</x:v>
      </x:c>
      <x:c r="AA109" s="55"/>
    </x:row>
    <x:row r="110" ht="20" customHeight="1">
      <x:c r="A110" s="46" t="n">
        <x:v>26</x:v>
      </x:c>
      <x:c r="B110" s="27" t="str">
        <x:v>独卧血月醉江湖</x:v>
      </x:c>
      <x:c r="C110" s="49" t="str">
        <x:v>花晨</x:v>
      </x:c>
      <x:c r="D110" s="49" t="str">
        <x:v>花晨</x:v>
      </x:c>
      <x:c r="E110" s="49" t="str">
        <x:v>留盟</x:v>
      </x:c>
      <x:c r="F110" s="49" t="str">
        <x:v>花晨</x:v>
      </x:c>
      <x:c r="G110" s="49" t="str">
        <x:v>花晨</x:v>
      </x:c>
      <x:c r="H110" s="37" t="n">
        <x:v>28.8</x:v>
      </x:c>
      <x:c r="I110" s="37" t="n">
        <x:v>19.5</x:v>
      </x:c>
      <x:c r="J110" s="40" t="n">
        <x:v>784</x:v>
      </x:c>
      <x:c r="K110" s="40" t="n">
        <x:v>804</x:v>
      </x:c>
      <x:c r="L110" s="40" t="n">
        <x:v>701</x:v>
      </x:c>
      <x:c r="M110" s="40" t="n">
        <x:v>620</x:v>
      </x:c>
      <x:c r="N110" s="40" t="n">
        <x:v>698</x:v>
      </x:c>
      <x:c r="O110" s="40" t="n">
        <x:v>746</x:v>
      </x:c>
      <x:c r="P110" s="40" t="n">
        <x:f>IF(COUNT(J110:O110)=0,"",SUM(J110:O110))</x:f>
        <x:v>4353</x:v>
      </x:c>
      <x:c r="Q110" s="40" t="n">
        <x:v>4364242710</x:v>
      </x:c>
      <x:c r="R110" s="40" t="n">
        <x:v>91907012</x:v>
      </x:c>
      <x:c r="S110" s="40" t="n">
        <x:v>332679739</x:v>
      </x:c>
      <x:c r="T110" s="40" t="n">
        <x:v>0</x:v>
      </x:c>
      <x:c r="U110" s="40" t="n">
        <x:v>43320</x:v>
      </x:c>
      <x:c r="V110" s="49" t="str">
        <x:v>宫阙3级</x:v>
      </x:c>
      <x:c r="W110" s="49" t="n">
        <x:v>1</x:v>
      </x:c>
      <x:c r="X110" s="52" t="n">
        <x:f>ROUND(100*(0.4*LN(1+Q110)/LN(1+MAX($Q$5:$Q$395))+0.35*R110/MAX($R$5:$R$395)+0.15*S110/MAX($S$5:$S$395)+IF(P110="",0,0.1*P110/MAX($P$5:$P$395)))/IF(P110="",0.9,1),1)</x:f>
        <x:v>78.3</x:v>
      </x:c>
      <x:c r="Y110" s="49" t="n">
        <x:f>RANK.EQ(X110,$X$5:$X$395,0)</x:f>
        <x:v>54</x:v>
      </x:c>
      <x:c r="Z110" s="34" t="str">
        <x:v>保持当前盟，减少迁移成本</x:v>
      </x:c>
      <x:c r="AA110" s="55"/>
    </x:row>
    <x:row r="111" ht="20" customHeight="1">
      <x:c r="A111" s="46" t="n">
        <x:v>52</x:v>
      </x:c>
      <x:c r="B111" s="27" t="str">
        <x:v>罗周周</x:v>
      </x:c>
      <x:c r="C111" s="49" t="str">
        <x:v>花晨</x:v>
      </x:c>
      <x:c r="D111" s="49" t="str">
        <x:v>花晨</x:v>
      </x:c>
      <x:c r="E111" s="49" t="str">
        <x:v>留盟</x:v>
      </x:c>
      <x:c r="F111" s="49" t="str">
        <x:v>花晨</x:v>
      </x:c>
      <x:c r="G111" s="49"/>
      <x:c r="H111" s="37"/>
      <x:c r="I111" s="37"/>
      <x:c r="J111" s="40"/>
      <x:c r="K111" s="40"/>
      <x:c r="L111" s="40"/>
      <x:c r="M111" s="40"/>
      <x:c r="N111" s="40"/>
      <x:c r="O111" s="40"/>
      <x:c r="P111" s="40" t="str">
        <x:f>IF(COUNT(J111:O111)=0,"",SUM(J111:O111))</x:f>
      </x:c>
      <x:c r="Q111" s="40" t="n">
        <x:v>2366932584</x:v>
      </x:c>
      <x:c r="R111" s="40" t="n">
        <x:v>90970933</x:v>
      </x:c>
      <x:c r="S111" s="40" t="n">
        <x:v>333142825</x:v>
      </x:c>
      <x:c r="T111" s="40" t="n">
        <x:v>0</x:v>
      </x:c>
      <x:c r="U111" s="40" t="n">
        <x:v>80560</x:v>
      </x:c>
      <x:c r="V111" s="49" t="str">
        <x:v>宫阙3级</x:v>
      </x:c>
      <x:c r="W111" s="49" t="n">
        <x:v>1</x:v>
      </x:c>
      <x:c r="X111" s="52" t="n">
        <x:f>ROUND(100*(0.4*LN(1+Q111)/LN(1+MAX($Q$5:$Q$395))+0.35*R111/MAX($R$5:$R$395)+0.15*S111/MAX($S$5:$S$395)+IF(P111="",0,0.1*P111/MAX($P$5:$P$395)))/IF(P111="",0.9,1),1)</x:f>
        <x:v>78</x:v>
      </x:c>
      <x:c r="Y111" s="49" t="n">
        <x:f>RANK.EQ(X111,$X$5:$X$395,0)</x:f>
        <x:v>58</x:v>
      </x:c>
      <x:c r="Z111" s="34" t="str">
        <x:v>保持当前盟，减少迁移成本</x:v>
      </x:c>
      <x:c r="AA111" s="55" t="str">
        <x:v>六维未匹配</x:v>
      </x:c>
    </x:row>
    <x:row r="112" ht="20" customHeight="1">
      <x:c r="A112" s="46" t="n">
        <x:v>22</x:v>
      </x:c>
      <x:c r="B112" s="27" t="str">
        <x:v>风清云</x:v>
      </x:c>
      <x:c r="C112" s="49" t="str">
        <x:v>花晨</x:v>
      </x:c>
      <x:c r="D112" s="49" t="str">
        <x:v>花晨</x:v>
      </x:c>
      <x:c r="E112" s="49" t="str">
        <x:v>留盟</x:v>
      </x:c>
      <x:c r="F112" s="49" t="str">
        <x:v>花晨</x:v>
      </x:c>
      <x:c r="G112" s="49"/>
      <x:c r="H112" s="37"/>
      <x:c r="I112" s="37"/>
      <x:c r="J112" s="40"/>
      <x:c r="K112" s="40"/>
      <x:c r="L112" s="40"/>
      <x:c r="M112" s="40"/>
      <x:c r="N112" s="40"/>
      <x:c r="O112" s="40"/>
      <x:c r="P112" s="40" t="str">
        <x:f>IF(COUNT(J112:O112)=0,"",SUM(J112:O112))</x:f>
      </x:c>
      <x:c r="Q112" s="40" t="n">
        <x:v>4819139876</x:v>
      </x:c>
      <x:c r="R112" s="40" t="n">
        <x:v>95455616</x:v>
      </x:c>
      <x:c r="S112" s="40" t="n">
        <x:v>250541710</x:v>
      </x:c>
      <x:c r="T112" s="40" t="n">
        <x:v>0</x:v>
      </x:c>
      <x:c r="U112" s="40" t="n">
        <x:v>115440</x:v>
      </x:c>
      <x:c r="V112" s="49" t="str">
        <x:v>宫阙3级</x:v>
      </x:c>
      <x:c r="W112" s="49" t="n">
        <x:v>4</x:v>
      </x:c>
      <x:c r="X112" s="52" t="n">
        <x:f>ROUND(100*(0.4*LN(1+Q112)/LN(1+MAX($Q$5:$Q$395))+0.35*R112/MAX($R$5:$R$395)+0.15*S112/MAX($S$5:$S$395)+IF(P112="",0,0.1*P112/MAX($P$5:$P$395)))/IF(P112="",0.9,1),1)</x:f>
        <x:v>77.9</x:v>
      </x:c>
      <x:c r="Y112" s="49" t="n">
        <x:f>RANK.EQ(X112,$X$5:$X$395,0)</x:f>
        <x:v>59</x:v>
      </x:c>
      <x:c r="Z112" s="34" t="str">
        <x:v>保持当前盟，减少迁移成本</x:v>
      </x:c>
      <x:c r="AA112" s="55" t="str">
        <x:v>六维未匹配</x:v>
      </x:c>
    </x:row>
    <x:row r="113" ht="20" customHeight="1">
      <x:c r="A113" s="46" t="n">
        <x:v>59</x:v>
      </x:c>
      <x:c r="B113" s="27" t="str">
        <x:v>陈先生</x:v>
      </x:c>
      <x:c r="C113" s="49" t="str">
        <x:v>花晨</x:v>
      </x:c>
      <x:c r="D113" s="49" t="str">
        <x:v>花晨</x:v>
      </x:c>
      <x:c r="E113" s="49" t="str">
        <x:v>留盟</x:v>
      </x:c>
      <x:c r="F113" s="49" t="str">
        <x:v>花晨</x:v>
      </x:c>
      <x:c r="G113" s="49" t="str">
        <x:v>玲珑</x:v>
      </x:c>
      <x:c r="H113" s="37" t="n">
        <x:v>28.8</x:v>
      </x:c>
      <x:c r="I113" s="37" t="n">
        <x:v>28.6</x:v>
      </x:c>
      <x:c r="J113" s="40" t="n">
        <x:v>781</x:v>
      </x:c>
      <x:c r="K113" s="40" t="n">
        <x:v>821</x:v>
      </x:c>
      <x:c r="L113" s="40" t="n">
        <x:v>704</x:v>
      </x:c>
      <x:c r="M113" s="40" t="n">
        <x:v>588</x:v>
      </x:c>
      <x:c r="N113" s="40" t="n">
        <x:v>771</x:v>
      </x:c>
      <x:c r="O113" s="40" t="n">
        <x:v>923</x:v>
      </x:c>
      <x:c r="P113" s="40" t="n">
        <x:f>IF(COUNT(J113:O113)=0,"",SUM(J113:O113))</x:f>
        <x:v>4588</x:v>
      </x:c>
      <x:c r="Q113" s="40" t="n">
        <x:v>2014674126</x:v>
      </x:c>
      <x:c r="R113" s="40" t="n">
        <x:v>92541278</x:v>
      </x:c>
      <x:c r="S113" s="40" t="n">
        <x:v>331319956</x:v>
      </x:c>
      <x:c r="T113" s="40" t="n">
        <x:v>0</x:v>
      </x:c>
      <x:c r="U113" s="40" t="n">
        <x:v>134600</x:v>
      </x:c>
      <x:c r="V113" s="49" t="str">
        <x:v>宫阙3级</x:v>
      </x:c>
      <x:c r="W113" s="49" t="n">
        <x:v>1</x:v>
      </x:c>
      <x:c r="X113" s="52" t="n">
        <x:f>ROUND(100*(0.4*LN(1+Q113)/LN(1+MAX($Q$5:$Q$395))+0.35*R113/MAX($R$5:$R$395)+0.15*S113/MAX($S$5:$S$395)+IF(P113="",0,0.1*P113/MAX($P$5:$P$395)))/IF(P113="",0.9,1),1)</x:f>
        <x:v>77.4</x:v>
      </x:c>
      <x:c r="Y113" s="49" t="n">
        <x:f>RANK.EQ(X113,$X$5:$X$395,0)</x:f>
        <x:v>62</x:v>
      </x:c>
      <x:c r="Z113" s="34" t="str">
        <x:v>保持当前盟，减少迁移成本</x:v>
      </x:c>
      <x:c r="AA113" s="55"/>
    </x:row>
    <x:row r="114" ht="20" customHeight="1">
      <x:c r="A114" s="46" t="n">
        <x:v>1</x:v>
      </x:c>
      <x:c r="B114" s="27" t="str">
        <x:v>小曹贼</x:v>
      </x:c>
      <x:c r="C114" s="49" t="str">
        <x:v>花晨</x:v>
      </x:c>
      <x:c r="D114" s="49" t="str">
        <x:v>花晨</x:v>
      </x:c>
      <x:c r="E114" s="49" t="str">
        <x:v>留盟</x:v>
      </x:c>
      <x:c r="F114" s="49" t="str"/>
      <x:c r="G114" s="49" t="str">
        <x:v>兰亭</x:v>
      </x:c>
      <x:c r="H114" s="37" t="n">
        <x:v>27.94</x:v>
      </x:c>
      <x:c r="I114" s="37" t="n">
        <x:v>22.5</x:v>
      </x:c>
      <x:c r="J114" s="40" t="n">
        <x:v>826</x:v>
      </x:c>
      <x:c r="K114" s="40" t="n">
        <x:v>982</x:v>
      </x:c>
      <x:c r="L114" s="40" t="n">
        <x:v>569</x:v>
      </x:c>
      <x:c r="M114" s="40" t="n">
        <x:v>671</x:v>
      </x:c>
      <x:c r="N114" s="40" t="n">
        <x:v>655</x:v>
      </x:c>
      <x:c r="O114" s="40" t="n">
        <x:v>833</x:v>
      </x:c>
      <x:c r="P114" s="40" t="n">
        <x:f>IF(COUNT(J114:O114)=0,"",SUM(J114:O114))</x:f>
        <x:v>4536</x:v>
      </x:c>
      <x:c r="Q114" s="40" t="n">
        <x:v>14133904556</x:v>
      </x:c>
      <x:c r="R114" s="40" t="n">
        <x:v>94134337</x:v>
      </x:c>
      <x:c r="S114" s="40" t="n">
        <x:v>193488950</x:v>
      </x:c>
      <x:c r="T114" s="40" t="n">
        <x:v>0</x:v>
      </x:c>
      <x:c r="U114" s="40" t="n">
        <x:v>0</x:v>
      </x:c>
      <x:c r="V114" s="49" t="str">
        <x:v>宫阙3级</x:v>
      </x:c>
      <x:c r="W114" s="49" t="n">
        <x:v>1</x:v>
      </x:c>
      <x:c r="X114" s="52" t="n">
        <x:f>ROUND(100*(0.4*LN(1+Q114)/LN(1+MAX($Q$5:$Q$395))+0.35*R114/MAX($R$5:$R$395)+0.15*S114/MAX($S$5:$S$395)+IF(P114="",0,0.1*P114/MAX($P$5:$P$395)))/IF(P114="",0.9,1),1)</x:f>
        <x:v>77.1</x:v>
      </x:c>
      <x:c r="Y114" s="49" t="n">
        <x:f>RANK.EQ(X114,$X$5:$X$395,0)</x:f>
        <x:v>63</x:v>
      </x:c>
      <x:c r="Z114" s="34" t="str">
        <x:v>保持当前盟，减少迁移成本</x:v>
      </x:c>
      <x:c r="AA114" s="55"/>
    </x:row>
    <x:row r="115" ht="20" customHeight="1">
      <x:c r="A115" s="46" t="n">
        <x:v>9</x:v>
      </x:c>
      <x:c r="B115" s="27" t="str">
        <x:v>竹间客卿</x:v>
      </x:c>
      <x:c r="C115" s="49" t="str">
        <x:v>花晨</x:v>
      </x:c>
      <x:c r="D115" s="49" t="str">
        <x:v>花晨</x:v>
      </x:c>
      <x:c r="E115" s="49" t="str">
        <x:v>留盟</x:v>
      </x:c>
      <x:c r="F115" s="49" t="str"/>
      <x:c r="G115" s="49"/>
      <x:c r="H115" s="37"/>
      <x:c r="I115" s="37"/>
      <x:c r="J115" s="40"/>
      <x:c r="K115" s="40"/>
      <x:c r="L115" s="40"/>
      <x:c r="M115" s="40"/>
      <x:c r="N115" s="40"/>
      <x:c r="O115" s="40"/>
      <x:c r="P115" s="40" t="str">
        <x:f>IF(COUNT(J115:O115)=0,"",SUM(J115:O115))</x:f>
      </x:c>
      <x:c r="Q115" s="40" t="n">
        <x:v>8173246108</x:v>
      </x:c>
      <x:c r="R115" s="40" t="n">
        <x:v>85358056</x:v>
      </x:c>
      <x:c r="S115" s="40" t="n">
        <x:v>277490419</x:v>
      </x:c>
      <x:c r="T115" s="40" t="n">
        <x:v>0</x:v>
      </x:c>
      <x:c r="U115" s="40" t="n">
        <x:v>158880</x:v>
      </x:c>
      <x:c r="V115" s="49" t="str">
        <x:v>宫阙3级</x:v>
      </x:c>
      <x:c r="W115" s="49" t="n">
        <x:v>4</x:v>
      </x:c>
      <x:c r="X115" s="52" t="n">
        <x:f>ROUND(100*(0.4*LN(1+Q115)/LN(1+MAX($Q$5:$Q$395))+0.35*R115/MAX($R$5:$R$395)+0.15*S115/MAX($S$5:$S$395)+IF(P115="",0,0.1*P115/MAX($P$5:$P$395)))/IF(P115="",0.9,1),1)</x:f>
        <x:v>76.9</x:v>
      </x:c>
      <x:c r="Y115" s="49" t="n">
        <x:f>RANK.EQ(X115,$X$5:$X$395,0)</x:f>
        <x:v>66</x:v>
      </x:c>
      <x:c r="Z115" s="34" t="str">
        <x:v>保持当前盟，减少迁移成本</x:v>
      </x:c>
      <x:c r="AA115" s="55" t="str">
        <x:v>六维未匹配</x:v>
      </x:c>
    </x:row>
    <x:row r="116" ht="20" customHeight="1">
      <x:c r="A116" s="46" t="n">
        <x:v>58</x:v>
      </x:c>
      <x:c r="B116" s="27" t="str">
        <x:v>桔梨椤柚</x:v>
      </x:c>
      <x:c r="C116" s="49" t="str">
        <x:v>花晨</x:v>
      </x:c>
      <x:c r="D116" s="49" t="str">
        <x:v>花晨</x:v>
      </x:c>
      <x:c r="E116" s="49" t="str">
        <x:v>留盟</x:v>
      </x:c>
      <x:c r="F116" s="49" t="str">
        <x:v>花晨</x:v>
      </x:c>
      <x:c r="G116" s="49" t="str">
        <x:v>花晨</x:v>
      </x:c>
      <x:c r="H116" s="37" t="n">
        <x:v>28.8</x:v>
      </x:c>
      <x:c r="I116" s="37" t="n">
        <x:v>22.5</x:v>
      </x:c>
      <x:c r="J116" s="40" t="n">
        <x:v>744</x:v>
      </x:c>
      <x:c r="K116" s="40" t="n">
        <x:v>890</x:v>
      </x:c>
      <x:c r="L116" s="40" t="n">
        <x:v>620</x:v>
      </x:c>
      <x:c r="M116" s="40" t="n">
        <x:v>714</x:v>
      </x:c>
      <x:c r="N116" s="40" t="n">
        <x:v>684</x:v>
      </x:c>
      <x:c r="O116" s="40" t="n">
        <x:v>823</x:v>
      </x:c>
      <x:c r="P116" s="40" t="n">
        <x:f>IF(COUNT(J116:O116)=0,"",SUM(J116:O116))</x:f>
        <x:v>4475</x:v>
      </x:c>
      <x:c r="Q116" s="40" t="n">
        <x:v>2026953730</x:v>
      </x:c>
      <x:c r="R116" s="40" t="n">
        <x:v>95699204</x:v>
      </x:c>
      <x:c r="S116" s="40" t="n">
        <x:v>286932522</x:v>
      </x:c>
      <x:c r="T116" s="40" t="n">
        <x:v>0</x:v>
      </x:c>
      <x:c r="U116" s="40" t="n">
        <x:v>113680</x:v>
      </x:c>
      <x:c r="V116" s="49" t="str">
        <x:v>宫阙3级</x:v>
      </x:c>
      <x:c r="W116" s="49" t="n">
        <x:v>1</x:v>
      </x:c>
      <x:c r="X116" s="52" t="n">
        <x:f>ROUND(100*(0.4*LN(1+Q116)/LN(1+MAX($Q$5:$Q$395))+0.35*R116/MAX($R$5:$R$395)+0.15*S116/MAX($S$5:$S$395)+IF(P116="",0,0.1*P116/MAX($P$5:$P$395)))/IF(P116="",0.9,1),1)</x:f>
        <x:v>76.8</x:v>
      </x:c>
      <x:c r="Y116" s="49" t="n">
        <x:f>RANK.EQ(X116,$X$5:$X$395,0)</x:f>
        <x:v>68</x:v>
      </x:c>
      <x:c r="Z116" s="34" t="str">
        <x:v>保持当前盟，减少迁移成本</x:v>
      </x:c>
      <x:c r="AA116" s="55" t="str">
        <x:v>名称对应：桔梨萝柚</x:v>
      </x:c>
    </x:row>
    <x:row r="117" ht="20" customHeight="1">
      <x:c r="A117" s="46" t="n">
        <x:v>11</x:v>
      </x:c>
      <x:c r="B117" s="27" t="str">
        <x:v>我来了</x:v>
      </x:c>
      <x:c r="C117" s="49" t="str">
        <x:v>花晨</x:v>
      </x:c>
      <x:c r="D117" s="49" t="str">
        <x:v>花晨</x:v>
      </x:c>
      <x:c r="E117" s="49" t="str">
        <x:v>留盟</x:v>
      </x:c>
      <x:c r="F117" s="49" t="str">
        <x:v>花晨</x:v>
      </x:c>
      <x:c r="G117" s="49" t="str">
        <x:v>花晨</x:v>
      </x:c>
      <x:c r="H117" s="37" t="n">
        <x:v>26.4</x:v>
      </x:c>
      <x:c r="I117" s="37" t="n">
        <x:v>25.8</x:v>
      </x:c>
      <x:c r="J117" s="40"/>
      <x:c r="K117" s="40"/>
      <x:c r="L117" s="40"/>
      <x:c r="M117" s="40"/>
      <x:c r="N117" s="40"/>
      <x:c r="O117" s="40"/>
      <x:c r="P117" s="40" t="str">
        <x:f>IF(COUNT(J117:O117)=0,"",SUM(J117:O117))</x:f>
      </x:c>
      <x:c r="Q117" s="40" t="n">
        <x:v>7859999650</x:v>
      </x:c>
      <x:c r="R117" s="40" t="n">
        <x:v>90603843</x:v>
      </x:c>
      <x:c r="S117" s="40" t="n">
        <x:v>227051949</x:v>
      </x:c>
      <x:c r="T117" s="40" t="n">
        <x:v>0</x:v>
      </x:c>
      <x:c r="U117" s="40" t="n">
        <x:v>149520</x:v>
      </x:c>
      <x:c r="V117" s="49" t="str">
        <x:v>宫阙3级</x:v>
      </x:c>
      <x:c r="W117" s="49" t="n">
        <x:v>5</x:v>
      </x:c>
      <x:c r="X117" s="52" t="n">
        <x:f>ROUND(100*(0.4*LN(1+Q117)/LN(1+MAX($Q$5:$Q$395))+0.35*R117/MAX($R$5:$R$395)+0.15*S117/MAX($S$5:$S$395)+IF(P117="",0,0.1*P117/MAX($P$5:$P$395)))/IF(P117="",0.9,1),1)</x:f>
        <x:v>76.7</x:v>
      </x:c>
      <x:c r="Y117" s="49" t="n">
        <x:f>RANK.EQ(X117,$X$5:$X$395,0)</x:f>
        <x:v>71</x:v>
      </x:c>
      <x:c r="Z117" s="34" t="str">
        <x:v>保持当前盟，减少迁移成本</x:v>
      </x:c>
      <x:c r="AA117" s="55"/>
    </x:row>
    <x:row r="118" ht="20" customHeight="1">
      <x:c r="A118" s="46" t="n">
        <x:v>36</x:v>
      </x:c>
      <x:c r="B118" s="27" t="str">
        <x:v>灵官星</x:v>
      </x:c>
      <x:c r="C118" s="49" t="str">
        <x:v>花晨</x:v>
      </x:c>
      <x:c r="D118" s="49" t="str">
        <x:v>花晨</x:v>
      </x:c>
      <x:c r="E118" s="49" t="str">
        <x:v>留盟</x:v>
      </x:c>
      <x:c r="F118" s="49" t="str">
        <x:v>花晨</x:v>
      </x:c>
      <x:c r="G118" s="49" t="str">
        <x:v>花晨</x:v>
      </x:c>
      <x:c r="H118" s="37" t="n">
        <x:v>25.2</x:v>
      </x:c>
      <x:c r="I118" s="37" t="n">
        <x:v>23.7</x:v>
      </x:c>
      <x:c r="J118" s="40" t="n">
        <x:v>614</x:v>
      </x:c>
      <x:c r="K118" s="40" t="n">
        <x:v>681</x:v>
      </x:c>
      <x:c r="L118" s="40" t="n">
        <x:v>670</x:v>
      </x:c>
      <x:c r="M118" s="40" t="n">
        <x:v>600</x:v>
      </x:c>
      <x:c r="N118" s="40" t="n">
        <x:v>724</x:v>
      </x:c>
      <x:c r="O118" s="40" t="n">
        <x:v>697</x:v>
      </x:c>
      <x:c r="P118" s="40" t="n">
        <x:f>IF(COUNT(J118:O118)=0,"",SUM(J118:O118))</x:f>
        <x:v>3986</x:v>
      </x:c>
      <x:c r="Q118" s="40" t="n">
        <x:v>3165519860</x:v>
      </x:c>
      <x:c r="R118" s="40" t="n">
        <x:v>88253018</x:v>
      </x:c>
      <x:c r="S118" s="40" t="n">
        <x:v>349190774</x:v>
      </x:c>
      <x:c r="T118" s="40" t="n">
        <x:v>0</x:v>
      </x:c>
      <x:c r="U118" s="40" t="n">
        <x:v>22080</x:v>
      </x:c>
      <x:c r="V118" s="49" t="str">
        <x:v>宫阙3级</x:v>
      </x:c>
      <x:c r="W118" s="49" t="n">
        <x:v>1</x:v>
      </x:c>
      <x:c r="X118" s="52" t="n">
        <x:f>ROUND(100*(0.4*LN(1+Q118)/LN(1+MAX($Q$5:$Q$395))+0.35*R118/MAX($R$5:$R$395)+0.15*S118/MAX($S$5:$S$395)+IF(P118="",0,0.1*P118/MAX($P$5:$P$395)))/IF(P118="",0.9,1),1)</x:f>
        <x:v>76.7</x:v>
      </x:c>
      <x:c r="Y118" s="49" t="n">
        <x:f>RANK.EQ(X118,$X$5:$X$395,0)</x:f>
        <x:v>71</x:v>
      </x:c>
      <x:c r="Z118" s="34" t="str">
        <x:v>保持当前盟，减少迁移成本</x:v>
      </x:c>
      <x:c r="AA118" s="55"/>
    </x:row>
    <x:row r="119" ht="20" customHeight="1">
      <x:c r="A119" s="46" t="n">
        <x:v>23</x:v>
      </x:c>
      <x:c r="B119" s="27" t="str">
        <x:v>海盐芝士</x:v>
      </x:c>
      <x:c r="C119" s="49" t="str">
        <x:v>花晨</x:v>
      </x:c>
      <x:c r="D119" s="49" t="str">
        <x:v>花晨</x:v>
      </x:c>
      <x:c r="E119" s="49" t="str">
        <x:v>留盟</x:v>
      </x:c>
      <x:c r="F119" s="49" t="str">
        <x:v>花晨</x:v>
      </x:c>
      <x:c r="G119" s="49" t="str">
        <x:v>花晨</x:v>
      </x:c>
      <x:c r="H119" s="37" t="n">
        <x:v>25.3</x:v>
      </x:c>
      <x:c r="I119" s="37" t="n">
        <x:v>23.7</x:v>
      </x:c>
      <x:c r="J119" s="40" t="n">
        <x:v>610</x:v>
      </x:c>
      <x:c r="K119" s="40" t="n">
        <x:v>645</x:v>
      </x:c>
      <x:c r="L119" s="40" t="n">
        <x:v>658</x:v>
      </x:c>
      <x:c r="M119" s="40" t="n">
        <x:v>617</x:v>
      </x:c>
      <x:c r="N119" s="40" t="n">
        <x:v>668</x:v>
      </x:c>
      <x:c r="O119" s="40" t="n">
        <x:v>606</x:v>
      </x:c>
      <x:c r="P119" s="40" t="n">
        <x:f>IF(COUNT(J119:O119)=0,"",SUM(J119:O119))</x:f>
        <x:v>3804</x:v>
      </x:c>
      <x:c r="Q119" s="40" t="n">
        <x:v>4802859938</x:v>
      </x:c>
      <x:c r="R119" s="40" t="n">
        <x:v>92416064</x:v>
      </x:c>
      <x:c r="S119" s="40" t="n">
        <x:v>291931339</x:v>
      </x:c>
      <x:c r="T119" s="40" t="n">
        <x:v>0</x:v>
      </x:c>
      <x:c r="U119" s="40" t="n">
        <x:v>47760</x:v>
      </x:c>
      <x:c r="V119" s="49" t="str">
        <x:v>宫阙3级</x:v>
      </x:c>
      <x:c r="W119" s="49" t="n">
        <x:v>1</x:v>
      </x:c>
      <x:c r="X119" s="52" t="n">
        <x:f>ROUND(100*(0.4*LN(1+Q119)/LN(1+MAX($Q$5:$Q$395))+0.35*R119/MAX($R$5:$R$395)+0.15*S119/MAX($S$5:$S$395)+IF(P119="",0,0.1*P119/MAX($P$5:$P$395)))/IF(P119="",0.9,1),1)</x:f>
        <x:v>76.5</x:v>
      </x:c>
      <x:c r="Y119" s="49" t="n">
        <x:f>RANK.EQ(X119,$X$5:$X$395,0)</x:f>
        <x:v>75</x:v>
      </x:c>
      <x:c r="Z119" s="34" t="str">
        <x:v>保持当前盟，减少迁移成本</x:v>
      </x:c>
      <x:c r="AA119" s="55"/>
    </x:row>
    <x:row r="120" ht="20" customHeight="1">
      <x:c r="A120" s="46" t="n">
        <x:v>4</x:v>
      </x:c>
      <x:c r="B120" s="27" t="str">
        <x:v>东山入眠际</x:v>
      </x:c>
      <x:c r="C120" s="49" t="str">
        <x:v>花晨</x:v>
      </x:c>
      <x:c r="D120" s="49" t="str">
        <x:v>花晨</x:v>
      </x:c>
      <x:c r="E120" s="49" t="str">
        <x:v>留盟</x:v>
      </x:c>
      <x:c r="F120" s="49" t="str">
        <x:v>花晨</x:v>
      </x:c>
      <x:c r="G120" s="49"/>
      <x:c r="H120" s="37" t="n">
        <x:v>26.4</x:v>
      </x:c>
      <x:c r="I120" s="37" t="n">
        <x:v>26.4</x:v>
      </x:c>
      <x:c r="J120" s="40" t="n">
        <x:v>752</x:v>
      </x:c>
      <x:c r="K120" s="40" t="n">
        <x:v>882</x:v>
      </x:c>
      <x:c r="L120" s="40" t="n">
        <x:v>671</x:v>
      </x:c>
      <x:c r="M120" s="40" t="n">
        <x:v>553</x:v>
      </x:c>
      <x:c r="N120" s="40" t="n">
        <x:v>697</x:v>
      </x:c>
      <x:c r="O120" s="40" t="n">
        <x:v>746</x:v>
      </x:c>
      <x:c r="P120" s="40" t="n">
        <x:f>IF(COUNT(J120:O120)=0,"",SUM(J120:O120))</x:f>
        <x:v>4301</x:v>
      </x:c>
      <x:c r="Q120" s="40" t="n">
        <x:v>9945496040</x:v>
      </x:c>
      <x:c r="R120" s="40" t="n">
        <x:v>93020290</x:v>
      </x:c>
      <x:c r="S120" s="40" t="n">
        <x:v>212618033</x:v>
      </x:c>
      <x:c r="T120" s="40" t="n">
        <x:v>0</x:v>
      </x:c>
      <x:c r="U120" s="40" t="n">
        <x:v>161680</x:v>
      </x:c>
      <x:c r="V120" s="49" t="str">
        <x:v>宫阙3级</x:v>
      </x:c>
      <x:c r="W120" s="49" t="n">
        <x:v>4</x:v>
      </x:c>
      <x:c r="X120" s="52" t="n">
        <x:f>ROUND(100*(0.4*LN(1+Q120)/LN(1+MAX($Q$5:$Q$395))+0.35*R120/MAX($R$5:$R$395)+0.15*S120/MAX($S$5:$S$395)+IF(P120="",0,0.1*P120/MAX($P$5:$P$395)))/IF(P120="",0.9,1),1)</x:f>
        <x:v>76.4</x:v>
      </x:c>
      <x:c r="Y120" s="49" t="n">
        <x:f>RANK.EQ(X120,$X$5:$X$395,0)</x:f>
        <x:v>77</x:v>
      </x:c>
      <x:c r="Z120" s="34" t="str">
        <x:v>保持当前盟，减少迁移成本</x:v>
      </x:c>
      <x:c r="AA120" s="55"/>
    </x:row>
    <x:row r="121" ht="20" customHeight="1">
      <x:c r="A121" s="46" t="n">
        <x:v>12</x:v>
      </x:c>
      <x:c r="B121" s="27" t="str">
        <x:v>盖世嘤熊</x:v>
      </x:c>
      <x:c r="C121" s="49" t="str">
        <x:v>花晨</x:v>
      </x:c>
      <x:c r="D121" s="49" t="str">
        <x:v>花晨</x:v>
      </x:c>
      <x:c r="E121" s="49" t="str">
        <x:v>留盟</x:v>
      </x:c>
      <x:c r="F121" s="49" t="str">
        <x:v>花晨</x:v>
      </x:c>
      <x:c r="G121" s="49" t="str">
        <x:v>花晨</x:v>
      </x:c>
      <x:c r="H121" s="37" t="n">
        <x:v>28.8</x:v>
      </x:c>
      <x:c r="I121" s="37" t="n">
        <x:v>28.8</x:v>
      </x:c>
      <x:c r="J121" s="40" t="n">
        <x:v>808</x:v>
      </x:c>
      <x:c r="K121" s="40" t="n">
        <x:v>948</x:v>
      </x:c>
      <x:c r="L121" s="40" t="n">
        <x:v>718</x:v>
      </x:c>
      <x:c r="M121" s="40" t="n">
        <x:v>594</x:v>
      </x:c>
      <x:c r="N121" s="40" t="n">
        <x:v>750</x:v>
      </x:c>
      <x:c r="O121" s="40" t="n">
        <x:v>942</x:v>
      </x:c>
      <x:c r="P121" s="40" t="n">
        <x:f>IF(COUNT(J121:O121)=0,"",SUM(J121:O121))</x:f>
        <x:v>4760</x:v>
      </x:c>
      <x:c r="Q121" s="40" t="n">
        <x:v>7739170280</x:v>
      </x:c>
      <x:c r="R121" s="40" t="n">
        <x:v>84208842</x:v>
      </x:c>
      <x:c r="S121" s="40" t="n">
        <x:v>273963761</x:v>
      </x:c>
      <x:c r="T121" s="40" t="n">
        <x:v>0</x:v>
      </x:c>
      <x:c r="U121" s="40" t="n">
        <x:v>119520</x:v>
      </x:c>
      <x:c r="V121" s="49" t="str">
        <x:v>宫阙3级</x:v>
      </x:c>
      <x:c r="W121" s="49" t="n">
        <x:v>4</x:v>
      </x:c>
      <x:c r="X121" s="52" t="n">
        <x:f>ROUND(100*(0.4*LN(1+Q121)/LN(1+MAX($Q$5:$Q$395))+0.35*R121/MAX($R$5:$R$395)+0.15*S121/MAX($S$5:$S$395)+IF(P121="",0,0.1*P121/MAX($P$5:$P$395)))/IF(P121="",0.9,1),1)</x:f>
        <x:v>76.2</x:v>
      </x:c>
      <x:c r="Y121" s="49" t="n">
        <x:f>RANK.EQ(X121,$X$5:$X$395,0)</x:f>
        <x:v>81</x:v>
      </x:c>
      <x:c r="Z121" s="34" t="str">
        <x:v>保持当前盟，减少迁移成本</x:v>
      </x:c>
      <x:c r="AA121" s="55"/>
    </x:row>
    <x:row r="122" ht="20" customHeight="1">
      <x:c r="A122" s="46" t="n">
        <x:v>31</x:v>
      </x:c>
      <x:c r="B122" s="27" t="str">
        <x:v>逍遥子</x:v>
      </x:c>
      <x:c r="C122" s="49" t="str">
        <x:v>花晨</x:v>
      </x:c>
      <x:c r="D122" s="49" t="str">
        <x:v>花晨</x:v>
      </x:c>
      <x:c r="E122" s="49" t="str">
        <x:v>留盟</x:v>
      </x:c>
      <x:c r="F122" s="49" t="str">
        <x:v>花晨/玲珑</x:v>
      </x:c>
      <x:c r="G122" s="49" t="str">
        <x:v>兰亭</x:v>
      </x:c>
      <x:c r="H122" s="37" t="n">
        <x:v>25.3</x:v>
      </x:c>
      <x:c r="I122" s="37" t="n">
        <x:v>25.3</x:v>
      </x:c>
      <x:c r="J122" s="40" t="n">
        <x:v>679</x:v>
      </x:c>
      <x:c r="K122" s="40" t="n">
        <x:v>878</x:v>
      </x:c>
      <x:c r="L122" s="40" t="n">
        <x:v>596</x:v>
      </x:c>
      <x:c r="M122" s="40" t="n">
        <x:v>583</x:v>
      </x:c>
      <x:c r="N122" s="40" t="n">
        <x:v>637</x:v>
      </x:c>
      <x:c r="O122" s="40" t="n">
        <x:v>824</x:v>
      </x:c>
      <x:c r="P122" s="40" t="n">
        <x:f>IF(COUNT(J122:O122)=0,"",SUM(J122:O122))</x:f>
        <x:v>4197</x:v>
      </x:c>
      <x:c r="Q122" s="40" t="n">
        <x:v>3793281232</x:v>
      </x:c>
      <x:c r="R122" s="40" t="n">
        <x:v>88192147</x:v>
      </x:c>
      <x:c r="S122" s="40" t="n">
        <x:v>300841456</x:v>
      </x:c>
      <x:c r="T122" s="40" t="n">
        <x:v>0</x:v>
      </x:c>
      <x:c r="U122" s="40" t="n">
        <x:v>52480</x:v>
      </x:c>
      <x:c r="V122" s="49" t="str">
        <x:v>宫阙3级</x:v>
      </x:c>
      <x:c r="W122" s="49" t="n">
        <x:v>2</x:v>
      </x:c>
      <x:c r="X122" s="52" t="n">
        <x:f>ROUND(100*(0.4*LN(1+Q122)/LN(1+MAX($Q$5:$Q$395))+0.35*R122/MAX($R$5:$R$395)+0.15*S122/MAX($S$5:$S$395)+IF(P122="",0,0.1*P122/MAX($P$5:$P$395)))/IF(P122="",0.9,1),1)</x:f>
        <x:v>75.9</x:v>
      </x:c>
      <x:c r="Y122" s="49" t="n">
        <x:f>RANK.EQ(X122,$X$5:$X$395,0)</x:f>
        <x:v>86</x:v>
      </x:c>
      <x:c r="Z122" s="34" t="str">
        <x:v>保持当前盟，减少迁移成本</x:v>
      </x:c>
      <x:c r="AA122" s="55"/>
    </x:row>
    <x:row r="123" ht="20" customHeight="1">
      <x:c r="A123" s="46" t="n">
        <x:v>46</x:v>
      </x:c>
      <x:c r="B123" s="27" t="str">
        <x:v>檀呵呵</x:v>
      </x:c>
      <x:c r="C123" s="49" t="str">
        <x:v>花晨</x:v>
      </x:c>
      <x:c r="D123" s="49" t="str">
        <x:v>花晨</x:v>
      </x:c>
      <x:c r="E123" s="49" t="str">
        <x:v>留盟</x:v>
      </x:c>
      <x:c r="F123" s="49" t="str">
        <x:v>花晨</x:v>
      </x:c>
      <x:c r="G123" s="49" t="str">
        <x:v>花晨</x:v>
      </x:c>
      <x:c r="H123" s="37" t="n">
        <x:v>27.8</x:v>
      </x:c>
      <x:c r="I123" s="37" t="n">
        <x:v>22.5</x:v>
      </x:c>
      <x:c r="J123" s="40" t="n">
        <x:v>732</x:v>
      </x:c>
      <x:c r="K123" s="40" t="n">
        <x:v>858</x:v>
      </x:c>
      <x:c r="L123" s="40" t="n">
        <x:v>643</x:v>
      </x:c>
      <x:c r="M123" s="40" t="n">
        <x:v>607</x:v>
      </x:c>
      <x:c r="N123" s="40" t="n">
        <x:v>706</x:v>
      </x:c>
      <x:c r="O123" s="40" t="n">
        <x:v>780</x:v>
      </x:c>
      <x:c r="P123" s="40" t="n">
        <x:f>IF(COUNT(J123:O123)=0,"",SUM(J123:O123))</x:f>
        <x:v>4326</x:v>
      </x:c>
      <x:c r="Q123" s="40" t="n">
        <x:v>2591764934</x:v>
      </x:c>
      <x:c r="R123" s="40" t="n">
        <x:v>91884564</x:v>
      </x:c>
      <x:c r="S123" s="40" t="n">
        <x:v>280135983</x:v>
      </x:c>
      <x:c r="T123" s="40" t="n">
        <x:v>0</x:v>
      </x:c>
      <x:c r="U123" s="40" t="n">
        <x:v>76800</x:v>
      </x:c>
      <x:c r="V123" s="49" t="str">
        <x:v>宫阙3级</x:v>
      </x:c>
      <x:c r="W123" s="49" t="n">
        <x:v>1</x:v>
      </x:c>
      <x:c r="X123" s="52" t="n">
        <x:f>ROUND(100*(0.4*LN(1+Q123)/LN(1+MAX($Q$5:$Q$395))+0.35*R123/MAX($R$5:$R$395)+0.15*S123/MAX($S$5:$S$395)+IF(P123="",0,0.1*P123/MAX($P$5:$P$395)))/IF(P123="",0.9,1),1)</x:f>
        <x:v>75.8</x:v>
      </x:c>
      <x:c r="Y123" s="49" t="n">
        <x:f>RANK.EQ(X123,$X$5:$X$395,0)</x:f>
        <x:v>89</x:v>
      </x:c>
      <x:c r="Z123" s="34" t="str">
        <x:v>保持当前盟，减少迁移成本</x:v>
      </x:c>
      <x:c r="AA123" s="55"/>
    </x:row>
    <x:row r="124" ht="20" customHeight="1">
      <x:c r="A124" s="46" t="n">
        <x:v>53</x:v>
      </x:c>
      <x:c r="B124" s="27" t="str">
        <x:v>倚楼听夜雨</x:v>
      </x:c>
      <x:c r="C124" s="49" t="str">
        <x:v>花晨</x:v>
      </x:c>
      <x:c r="D124" s="49" t="str">
        <x:v>花晨</x:v>
      </x:c>
      <x:c r="E124" s="49" t="str">
        <x:v>留盟</x:v>
      </x:c>
      <x:c r="F124" s="49" t="str">
        <x:v>花晨</x:v>
      </x:c>
      <x:c r="G124" s="49" t="str">
        <x:v>兰亭</x:v>
      </x:c>
      <x:c r="H124" s="37" t="n">
        <x:v>27.7</x:v>
      </x:c>
      <x:c r="I124" s="37" t="n">
        <x:v>22.5</x:v>
      </x:c>
      <x:c r="J124" s="40" t="n">
        <x:v>761</x:v>
      </x:c>
      <x:c r="K124" s="40" t="n">
        <x:v>812</x:v>
      </x:c>
      <x:c r="L124" s="40" t="n">
        <x:v>662</x:v>
      </x:c>
      <x:c r="M124" s="40" t="n">
        <x:v>549</x:v>
      </x:c>
      <x:c r="N124" s="40" t="n">
        <x:v>727</x:v>
      </x:c>
      <x:c r="O124" s="40" t="n">
        <x:v>666</x:v>
      </x:c>
      <x:c r="P124" s="40" t="n">
        <x:f>IF(COUNT(J124:O124)=0,"",SUM(J124:O124))</x:f>
        <x:v>4177</x:v>
      </x:c>
      <x:c r="Q124" s="40" t="n">
        <x:v>2309131456</x:v>
      </x:c>
      <x:c r="R124" s="40" t="n">
        <x:v>89894249</x:v>
      </x:c>
      <x:c r="S124" s="40" t="n">
        <x:v>310543109</x:v>
      </x:c>
      <x:c r="T124" s="40" t="n">
        <x:v>0</x:v>
      </x:c>
      <x:c r="U124" s="40" t="n">
        <x:v>74800</x:v>
      </x:c>
      <x:c r="V124" s="49" t="str">
        <x:v>宫阙3级</x:v>
      </x:c>
      <x:c r="W124" s="49" t="n">
        <x:v>1</x:v>
      </x:c>
      <x:c r="X124" s="52" t="n">
        <x:f>ROUND(100*(0.4*LN(1+Q124)/LN(1+MAX($Q$5:$Q$395))+0.35*R124/MAX($R$5:$R$395)+0.15*S124/MAX($S$5:$S$395)+IF(P124="",0,0.1*P124/MAX($P$5:$P$395)))/IF(P124="",0.9,1),1)</x:f>
        <x:v>75.7</x:v>
      </x:c>
      <x:c r="Y124" s="49" t="n">
        <x:f>RANK.EQ(X124,$X$5:$X$395,0)</x:f>
        <x:v>92</x:v>
      </x:c>
      <x:c r="Z124" s="34" t="str">
        <x:v>保持当前盟，减少迁移成本</x:v>
      </x:c>
      <x:c r="AA124" s="55"/>
    </x:row>
    <x:row r="125" ht="20" customHeight="1">
      <x:c r="A125" s="46" t="n">
        <x:v>77</x:v>
      </x:c>
      <x:c r="B125" s="27" t="str">
        <x:v>听风言酒</x:v>
      </x:c>
      <x:c r="C125" s="49" t="str">
        <x:v>花晨</x:v>
      </x:c>
      <x:c r="D125" s="49" t="str">
        <x:v>花晨</x:v>
      </x:c>
      <x:c r="E125" s="49" t="str">
        <x:v>留盟</x:v>
      </x:c>
      <x:c r="F125" s="49" t="str">
        <x:v>花晨</x:v>
      </x:c>
      <x:c r="G125" s="49" t="str">
        <x:v>兰亭</x:v>
      </x:c>
      <x:c r="H125" s="37" t="n">
        <x:v>28.8</x:v>
      </x:c>
      <x:c r="I125" s="37" t="n">
        <x:v>28.8</x:v>
      </x:c>
      <x:c r="J125" s="40" t="n">
        <x:v>857</x:v>
      </x:c>
      <x:c r="K125" s="40" t="n">
        <x:v>907</x:v>
      </x:c>
      <x:c r="L125" s="40" t="n">
        <x:v>610</x:v>
      </x:c>
      <x:c r="M125" s="40" t="n">
        <x:v>653</x:v>
      </x:c>
      <x:c r="N125" s="40" t="n">
        <x:v>737</x:v>
      </x:c>
      <x:c r="O125" s="40" t="n">
        <x:v>772</x:v>
      </x:c>
      <x:c r="P125" s="40" t="n">
        <x:f>IF(COUNT(J125:O125)=0,"",SUM(J125:O125))</x:f>
        <x:v>4536</x:v>
      </x:c>
      <x:c r="Q125" s="40" t="n">
        <x:v>1156003388</x:v>
      </x:c>
      <x:c r="R125" s="40" t="n">
        <x:v>92667425</x:v>
      </x:c>
      <x:c r="S125" s="40" t="n">
        <x:v>305633326</x:v>
      </x:c>
      <x:c r="T125" s="40" t="n">
        <x:v>0</x:v>
      </x:c>
      <x:c r="U125" s="40" t="n">
        <x:v>106320</x:v>
      </x:c>
      <x:c r="V125" s="49" t="str">
        <x:v>宫阙3级</x:v>
      </x:c>
      <x:c r="W125" s="49" t="n">
        <x:v>1</x:v>
      </x:c>
      <x:c r="X125" s="52" t="n">
        <x:f>ROUND(100*(0.4*LN(1+Q125)/LN(1+MAX($Q$5:$Q$395))+0.35*R125/MAX($R$5:$R$395)+0.15*S125/MAX($S$5:$S$395)+IF(P125="",0,0.1*P125/MAX($P$5:$P$395)))/IF(P125="",0.9,1),1)</x:f>
        <x:v>75.7</x:v>
      </x:c>
      <x:c r="Y125" s="49" t="n">
        <x:f>RANK.EQ(X125,$X$5:$X$395,0)</x:f>
        <x:v>92</x:v>
      </x:c>
      <x:c r="Z125" s="34" t="str">
        <x:v>保持当前盟，减少迁移成本</x:v>
      </x:c>
      <x:c r="AA125" s="55"/>
    </x:row>
    <x:row r="126" ht="20" customHeight="1">
      <x:c r="A126" s="46" t="n">
        <x:v>39</x:v>
      </x:c>
      <x:c r="B126" s="27" t="str">
        <x:v>星辰伤</x:v>
      </x:c>
      <x:c r="C126" s="49" t="str">
        <x:v>花晨</x:v>
      </x:c>
      <x:c r="D126" s="49" t="str">
        <x:v>花晨</x:v>
      </x:c>
      <x:c r="E126" s="49" t="str">
        <x:v>留盟</x:v>
      </x:c>
      <x:c r="F126" s="49" t="str">
        <x:v>花晨</x:v>
      </x:c>
      <x:c r="G126" s="49" t="str">
        <x:v>花晨</x:v>
      </x:c>
      <x:c r="H126" s="37" t="n">
        <x:v>28.8</x:v>
      </x:c>
      <x:c r="I126" s="37" t="n">
        <x:v>22.5</x:v>
      </x:c>
      <x:c r="J126" s="40" t="n">
        <x:v>792</x:v>
      </x:c>
      <x:c r="K126" s="40" t="n">
        <x:v>785</x:v>
      </x:c>
      <x:c r="L126" s="40" t="n">
        <x:v>694</x:v>
      </x:c>
      <x:c r="M126" s="40" t="n">
        <x:v>765</x:v>
      </x:c>
      <x:c r="N126" s="40" t="n">
        <x:v>672</x:v>
      </x:c>
      <x:c r="O126" s="40" t="n">
        <x:v>759</x:v>
      </x:c>
      <x:c r="P126" s="40" t="n">
        <x:f>IF(COUNT(J126:O126)=0,"",SUM(J126:O126))</x:f>
        <x:v>4467</x:v>
      </x:c>
      <x:c r="Q126" s="40" t="n">
        <x:v>3043749620</x:v>
      </x:c>
      <x:c r="R126" s="40" t="n">
        <x:v>88002623</x:v>
      </x:c>
      <x:c r="S126" s="40" t="n">
        <x:v>293595427</x:v>
      </x:c>
      <x:c r="T126" s="40" t="n">
        <x:v>0</x:v>
      </x:c>
      <x:c r="U126" s="40" t="n">
        <x:v>99920</x:v>
      </x:c>
      <x:c r="V126" s="49" t="str">
        <x:v>宫阙3级</x:v>
      </x:c>
      <x:c r="W126" s="49" t="n">
        <x:v>1</x:v>
      </x:c>
      <x:c r="X126" s="52" t="n">
        <x:f>ROUND(100*(0.4*LN(1+Q126)/LN(1+MAX($Q$5:$Q$395))+0.35*R126/MAX($R$5:$R$395)+0.15*S126/MAX($S$5:$S$395)+IF(P126="",0,0.1*P126/MAX($P$5:$P$395)))/IF(P126="",0.9,1),1)</x:f>
        <x:v>75.7</x:v>
      </x:c>
      <x:c r="Y126" s="49" t="n">
        <x:f>RANK.EQ(X126,$X$5:$X$395,0)</x:f>
        <x:v>92</x:v>
      </x:c>
      <x:c r="Z126" s="34" t="str">
        <x:v>保持当前盟，减少迁移成本</x:v>
      </x:c>
      <x:c r="AA126" s="55"/>
    </x:row>
    <x:row r="127" ht="20" customHeight="1">
      <x:c r="A127" s="46" t="n">
        <x:v>91</x:v>
      </x:c>
      <x:c r="B127" s="27" t="str">
        <x:v>大裤衩子</x:v>
      </x:c>
      <x:c r="C127" s="49" t="str">
        <x:v>花晨</x:v>
      </x:c>
      <x:c r="D127" s="49" t="str">
        <x:v>花晨</x:v>
      </x:c>
      <x:c r="E127" s="49" t="str">
        <x:v>留盟</x:v>
      </x:c>
      <x:c r="F127" s="49" t="str">
        <x:v>花晨</x:v>
      </x:c>
      <x:c r="G127" s="49"/>
      <x:c r="H127" s="37"/>
      <x:c r="I127" s="37"/>
      <x:c r="J127" s="40"/>
      <x:c r="K127" s="40"/>
      <x:c r="L127" s="40"/>
      <x:c r="M127" s="40"/>
      <x:c r="N127" s="40"/>
      <x:c r="O127" s="40"/>
      <x:c r="P127" s="40" t="str">
        <x:f>IF(COUNT(J127:O127)=0,"",SUM(J127:O127))</x:f>
      </x:c>
      <x:c r="Q127" s="40" t="n">
        <x:v>247981412</x:v>
      </x:c>
      <x:c r="R127" s="40" t="n">
        <x:v>95313974</x:v>
      </x:c>
      <x:c r="S127" s="40" t="n">
        <x:v>343551762</x:v>
      </x:c>
      <x:c r="T127" s="40" t="n">
        <x:v>0</x:v>
      </x:c>
      <x:c r="U127" s="40" t="n">
        <x:v>119520</x:v>
      </x:c>
      <x:c r="V127" s="49" t="str">
        <x:v>宫阙3级</x:v>
      </x:c>
      <x:c r="W127" s="49" t="n">
        <x:v>1</x:v>
      </x:c>
      <x:c r="X127" s="52" t="n">
        <x:f>ROUND(100*(0.4*LN(1+Q127)/LN(1+MAX($Q$5:$Q$395))+0.35*R127/MAX($R$5:$R$395)+0.15*S127/MAX($S$5:$S$395)+IF(P127="",0,0.1*P127/MAX($P$5:$P$395)))/IF(P127="",0.9,1),1)</x:f>
        <x:v>75.3</x:v>
      </x:c>
      <x:c r="Y127" s="49" t="n">
        <x:f>RANK.EQ(X127,$X$5:$X$395,0)</x:f>
        <x:v>102</x:v>
      </x:c>
      <x:c r="Z127" s="34" t="str">
        <x:v>保持当前盟，减少迁移成本</x:v>
      </x:c>
      <x:c r="AA127" s="55" t="str">
        <x:v>六维未匹配</x:v>
      </x:c>
    </x:row>
    <x:row r="128" ht="20" customHeight="1">
      <x:c r="A128" s="46" t="n">
        <x:v>16</x:v>
      </x:c>
      <x:c r="B128" s="27" t="str">
        <x:v>情灬川</x:v>
      </x:c>
      <x:c r="C128" s="49" t="str">
        <x:v>花晨</x:v>
      </x:c>
      <x:c r="D128" s="49" t="str">
        <x:v>花晨</x:v>
      </x:c>
      <x:c r="E128" s="49" t="str">
        <x:v>留盟</x:v>
      </x:c>
      <x:c r="F128" s="49" t="str">
        <x:v>花晨</x:v>
      </x:c>
      <x:c r="G128" s="49" t="str">
        <x:v>兰亭</x:v>
      </x:c>
      <x:c r="H128" s="37" t="n">
        <x:v>28.8</x:v>
      </x:c>
      <x:c r="I128" s="37" t="n">
        <x:v>26.5</x:v>
      </x:c>
      <x:c r="J128" s="40" t="n">
        <x:v>729</x:v>
      </x:c>
      <x:c r="K128" s="40" t="n">
        <x:v>846</x:v>
      </x:c>
      <x:c r="L128" s="40" t="n">
        <x:v>702</x:v>
      </x:c>
      <x:c r="M128" s="40" t="n">
        <x:v>586</x:v>
      </x:c>
      <x:c r="N128" s="40" t="n">
        <x:v>755</x:v>
      </x:c>
      <x:c r="O128" s="40" t="n">
        <x:v>769</x:v>
      </x:c>
      <x:c r="P128" s="40" t="n">
        <x:f>IF(COUNT(J128:O128)=0,"",SUM(J128:O128))</x:f>
        <x:v>4387</x:v>
      </x:c>
      <x:c r="Q128" s="40" t="n">
        <x:v>6476681480</x:v>
      </x:c>
      <x:c r="R128" s="40" t="n">
        <x:v>86795669</x:v>
      </x:c>
      <x:c r="S128" s="40" t="n">
        <x:v>246462841</x:v>
      </x:c>
      <x:c r="T128" s="40" t="n">
        <x:v>0</x:v>
      </x:c>
      <x:c r="U128" s="40" t="n">
        <x:v>78120</x:v>
      </x:c>
      <x:c r="V128" s="49" t="str">
        <x:v>宫阙3级</x:v>
      </x:c>
      <x:c r="W128" s="49" t="n">
        <x:v>1</x:v>
      </x:c>
      <x:c r="X128" s="52" t="n">
        <x:f>ROUND(100*(0.4*LN(1+Q128)/LN(1+MAX($Q$5:$Q$395))+0.35*R128/MAX($R$5:$R$395)+0.15*S128/MAX($S$5:$S$395)+IF(P128="",0,0.1*P128/MAX($P$5:$P$395)))/IF(P128="",0.9,1),1)</x:f>
        <x:v>75.2</x:v>
      </x:c>
      <x:c r="Y128" s="49" t="n">
        <x:f>RANK.EQ(X128,$X$5:$X$395,0)</x:f>
        <x:v>105</x:v>
      </x:c>
      <x:c r="Z128" s="34" t="str">
        <x:v>保持当前盟，减少迁移成本</x:v>
      </x:c>
      <x:c r="AA128" s="55"/>
    </x:row>
    <x:row r="129" ht="20" customHeight="1">
      <x:c r="A129" s="46" t="n">
        <x:v>64</x:v>
      </x:c>
      <x:c r="B129" s="27" t="str">
        <x:v>秦九鹿</x:v>
      </x:c>
      <x:c r="C129" s="49" t="str">
        <x:v>花晨</x:v>
      </x:c>
      <x:c r="D129" s="49" t="str">
        <x:v>花晨</x:v>
      </x:c>
      <x:c r="E129" s="49" t="str">
        <x:v>留盟</x:v>
      </x:c>
      <x:c r="F129" s="49" t="str">
        <x:v>花晨</x:v>
      </x:c>
      <x:c r="G129" s="49" t="str">
        <x:v>花晨</x:v>
      </x:c>
      <x:c r="H129" s="37" t="n">
        <x:v>28.8</x:v>
      </x:c>
      <x:c r="I129" s="37" t="n">
        <x:v>22.5</x:v>
      </x:c>
      <x:c r="J129" s="40" t="n">
        <x:v>685</x:v>
      </x:c>
      <x:c r="K129" s="40" t="n">
        <x:v>919</x:v>
      </x:c>
      <x:c r="L129" s="40" t="n">
        <x:v>646</x:v>
      </x:c>
      <x:c r="M129" s="40" t="n">
        <x:v>661</x:v>
      </x:c>
      <x:c r="N129" s="40" t="n">
        <x:v>710</x:v>
      </x:c>
      <x:c r="O129" s="40" t="n">
        <x:v>834</x:v>
      </x:c>
      <x:c r="P129" s="40" t="n">
        <x:f>IF(COUNT(J129:O129)=0,"",SUM(J129:O129))</x:f>
        <x:v>4455</x:v>
      </x:c>
      <x:c r="Q129" s="40" t="n">
        <x:v>1794530198</x:v>
      </x:c>
      <x:c r="R129" s="40" t="n">
        <x:v>91266487</x:v>
      </x:c>
      <x:c r="S129" s="40" t="n">
        <x:v>271981515</x:v>
      </x:c>
      <x:c r="T129" s="40" t="n">
        <x:v>0</x:v>
      </x:c>
      <x:c r="U129" s="40" t="n">
        <x:v>148080</x:v>
      </x:c>
      <x:c r="V129" s="49" t="str">
        <x:v>宫阙3级</x:v>
      </x:c>
      <x:c r="W129" s="49" t="n">
        <x:v>4</x:v>
      </x:c>
      <x:c r="X129" s="52" t="n">
        <x:f>ROUND(100*(0.4*LN(1+Q129)/LN(1+MAX($Q$5:$Q$395))+0.35*R129/MAX($R$5:$R$395)+0.15*S129/MAX($S$5:$S$395)+IF(P129="",0,0.1*P129/MAX($P$5:$P$395)))/IF(P129="",0.9,1),1)</x:f>
        <x:v>75</x:v>
      </x:c>
      <x:c r="Y129" s="49" t="n">
        <x:f>RANK.EQ(X129,$X$5:$X$395,0)</x:f>
        <x:v>109</x:v>
      </x:c>
      <x:c r="Z129" s="34" t="str">
        <x:v>保持当前盟，减少迁移成本</x:v>
      </x:c>
      <x:c r="AA129" s="55"/>
    </x:row>
    <x:row r="130" ht="20" customHeight="1">
      <x:c r="A130" s="46" t="n">
        <x:v>17</x:v>
      </x:c>
      <x:c r="B130" s="27" t="str">
        <x:v>魂天帝</x:v>
      </x:c>
      <x:c r="C130" s="49" t="str">
        <x:v>花晨</x:v>
      </x:c>
      <x:c r="D130" s="49" t="str">
        <x:v>花晨</x:v>
      </x:c>
      <x:c r="E130" s="49" t="str">
        <x:v>留盟</x:v>
      </x:c>
      <x:c r="F130" s="49" t="str">
        <x:v>花晨</x:v>
      </x:c>
      <x:c r="G130" s="49" t="str">
        <x:v>兰亭</x:v>
      </x:c>
      <x:c r="H130" s="37" t="n">
        <x:v>27.8</x:v>
      </x:c>
      <x:c r="I130" s="37" t="n">
        <x:v>22.5</x:v>
      </x:c>
      <x:c r="J130" s="40" t="n">
        <x:v>680</x:v>
      </x:c>
      <x:c r="K130" s="40" t="n">
        <x:v>762</x:v>
      </x:c>
      <x:c r="L130" s="40" t="n">
        <x:v>642</x:v>
      </x:c>
      <x:c r="M130" s="40" t="n">
        <x:v>596</x:v>
      </x:c>
      <x:c r="N130" s="40" t="n">
        <x:v>699</x:v>
      </x:c>
      <x:c r="O130" s="40" t="n">
        <x:v>613</x:v>
      </x:c>
      <x:c r="P130" s="40" t="n">
        <x:f>IF(COUNT(J130:O130)=0,"",SUM(J130:O130))</x:f>
        <x:v>3992</x:v>
      </x:c>
      <x:c r="Q130" s="40" t="n">
        <x:v>5899834976</x:v>
      </x:c>
      <x:c r="R130" s="40" t="n">
        <x:v>84896435</x:v>
      </x:c>
      <x:c r="S130" s="40" t="n">
        <x:v>282448387</x:v>
      </x:c>
      <x:c r="T130" s="40" t="n">
        <x:v>0</x:v>
      </x:c>
      <x:c r="U130" s="40" t="n">
        <x:v>108960</x:v>
      </x:c>
      <x:c r="V130" s="49" t="str">
        <x:v>宫阙3级</x:v>
      </x:c>
      <x:c r="W130" s="49" t="n">
        <x:v>1</x:v>
      </x:c>
      <x:c r="X130" s="52" t="n">
        <x:f>ROUND(100*(0.4*LN(1+Q130)/LN(1+MAX($Q$5:$Q$395))+0.35*R130/MAX($R$5:$R$395)+0.15*S130/MAX($S$5:$S$395)+IF(P130="",0,0.1*P130/MAX($P$5:$P$395)))/IF(P130="",0.9,1),1)</x:f>
        <x:v>74.9</x:v>
      </x:c>
      <x:c r="Y130" s="49" t="n">
        <x:f>RANK.EQ(X130,$X$5:$X$395,0)</x:f>
        <x:v>111</x:v>
      </x:c>
      <x:c r="Z130" s="34" t="str">
        <x:v>保持当前盟，减少迁移成本</x:v>
      </x:c>
      <x:c r="AA130" s="55"/>
    </x:row>
    <x:row r="131" ht="20" customHeight="1">
      <x:c r="A131" s="46" t="n">
        <x:v>30</x:v>
      </x:c>
      <x:c r="B131" s="27" t="str">
        <x:v>紫默半夏</x:v>
      </x:c>
      <x:c r="C131" s="49" t="str">
        <x:v>花晨</x:v>
      </x:c>
      <x:c r="D131" s="49" t="str">
        <x:v>花晨</x:v>
      </x:c>
      <x:c r="E131" s="49" t="str">
        <x:v>留盟</x:v>
      </x:c>
      <x:c r="F131" s="49" t="str">
        <x:v>花晨</x:v>
      </x:c>
      <x:c r="G131" s="49" t="str">
        <x:v>兰亭</x:v>
      </x:c>
      <x:c r="H131" s="37" t="n">
        <x:v>28</x:v>
      </x:c>
      <x:c r="I131" s="37" t="n">
        <x:v>28</x:v>
      </x:c>
      <x:c r="J131" s="40" t="n">
        <x:v>737</x:v>
      </x:c>
      <x:c r="K131" s="40" t="n">
        <x:v>815</x:v>
      </x:c>
      <x:c r="L131" s="40" t="n">
        <x:v>588</x:v>
      </x:c>
      <x:c r="M131" s="40" t="n">
        <x:v>514</x:v>
      </x:c>
      <x:c r="N131" s="40" t="n">
        <x:v>704</x:v>
      </x:c>
      <x:c r="O131" s="40" t="n">
        <x:v>605</x:v>
      </x:c>
      <x:c r="P131" s="40" t="n">
        <x:f>IF(COUNT(J131:O131)=0,"",SUM(J131:O131))</x:f>
        <x:v>3963</x:v>
      </x:c>
      <x:c r="Q131" s="40" t="n">
        <x:v>4019877578</x:v>
      </x:c>
      <x:c r="R131" s="40" t="n">
        <x:v>88196086</x:v>
      </x:c>
      <x:c r="S131" s="40" t="n">
        <x:v>276314820</x:v>
      </x:c>
      <x:c r="T131" s="40" t="n">
        <x:v>0</x:v>
      </x:c>
      <x:c r="U131" s="40" t="n">
        <x:v>106240</x:v>
      </x:c>
      <x:c r="V131" s="49" t="str">
        <x:v>宫阙3级</x:v>
      </x:c>
      <x:c r="W131" s="49" t="n">
        <x:v>1</x:v>
      </x:c>
      <x:c r="X131" s="52" t="n">
        <x:f>ROUND(100*(0.4*LN(1+Q131)/LN(1+MAX($Q$5:$Q$395))+0.35*R131/MAX($R$5:$R$395)+0.15*S131/MAX($S$5:$S$395)+IF(P131="",0,0.1*P131/MAX($P$5:$P$395)))/IF(P131="",0.9,1),1)</x:f>
        <x:v>74.9</x:v>
      </x:c>
      <x:c r="Y131" s="49" t="n">
        <x:f>RANK.EQ(X131,$X$5:$X$395,0)</x:f>
        <x:v>111</x:v>
      </x:c>
      <x:c r="Z131" s="34" t="str">
        <x:v>保持当前盟，减少迁移成本</x:v>
      </x:c>
      <x:c r="AA131" s="55"/>
    </x:row>
    <x:row r="132" ht="20" customHeight="1">
      <x:c r="A132" s="46" t="n">
        <x:v>63</x:v>
      </x:c>
      <x:c r="B132" s="27" t="str">
        <x:v>清醒小姐姐</x:v>
      </x:c>
      <x:c r="C132" s="49" t="str">
        <x:v>花晨</x:v>
      </x:c>
      <x:c r="D132" s="49" t="str">
        <x:v>花晨</x:v>
      </x:c>
      <x:c r="E132" s="49" t="str">
        <x:v>留盟</x:v>
      </x:c>
      <x:c r="F132" s="49" t="str">
        <x:v>花晨</x:v>
      </x:c>
      <x:c r="G132" s="49"/>
      <x:c r="H132" s="37" t="n">
        <x:v>25.4</x:v>
      </x:c>
      <x:c r="I132" s="37" t="n">
        <x:v>25</x:v>
      </x:c>
      <x:c r="J132" s="40" t="n">
        <x:v>611</x:v>
      </x:c>
      <x:c r="K132" s="40" t="n">
        <x:v>838</x:v>
      </x:c>
      <x:c r="L132" s="40" t="n">
        <x:v>569</x:v>
      </x:c>
      <x:c r="M132" s="40" t="n">
        <x:v>528</x:v>
      </x:c>
      <x:c r="N132" s="40" t="n">
        <x:v>607</x:v>
      </x:c>
      <x:c r="O132" s="40" t="n">
        <x:v>716</x:v>
      </x:c>
      <x:c r="P132" s="40" t="n">
        <x:f>IF(COUNT(J132:O132)=0,"",SUM(J132:O132))</x:f>
        <x:v>3869</x:v>
      </x:c>
      <x:c r="Q132" s="40" t="n">
        <x:v>1847124230</x:v>
      </x:c>
      <x:c r="R132" s="40" t="n">
        <x:v>90110227</x:v>
      </x:c>
      <x:c r="S132" s="40" t="n">
        <x:v>306000353</x:v>
      </x:c>
      <x:c r="T132" s="40" t="n">
        <x:v>0</x:v>
      </x:c>
      <x:c r="U132" s="40" t="n">
        <x:v>76080</x:v>
      </x:c>
      <x:c r="V132" s="49" t="str">
        <x:v>宫阙3级</x:v>
      </x:c>
      <x:c r="W132" s="49" t="n">
        <x:v>1</x:v>
      </x:c>
      <x:c r="X132" s="52" t="n">
        <x:f>ROUND(100*(0.4*LN(1+Q132)/LN(1+MAX($Q$5:$Q$395))+0.35*R132/MAX($R$5:$R$395)+0.15*S132/MAX($S$5:$S$395)+IF(P132="",0,0.1*P132/MAX($P$5:$P$395)))/IF(P132="",0.9,1),1)</x:f>
        <x:v>74.8</x:v>
      </x:c>
      <x:c r="Y132" s="49" t="n">
        <x:f>RANK.EQ(X132,$X$5:$X$395,0)</x:f>
        <x:v>113</x:v>
      </x:c>
      <x:c r="Z132" s="34" t="str">
        <x:v>保持当前盟，减少迁移成本</x:v>
      </x:c>
      <x:c r="AA132" s="55"/>
    </x:row>
    <x:row r="133" ht="20" customHeight="1">
      <x:c r="A133" s="46" t="n">
        <x:v>41</x:v>
      </x:c>
      <x:c r="B133" s="27" t="str">
        <x:v>御弟哥哥</x:v>
      </x:c>
      <x:c r="C133" s="49" t="str">
        <x:v>花晨</x:v>
      </x:c>
      <x:c r="D133" s="49" t="str">
        <x:v>花晨</x:v>
      </x:c>
      <x:c r="E133" s="49" t="str">
        <x:v>留盟</x:v>
      </x:c>
      <x:c r="F133" s="49" t="str">
        <x:v>花晨</x:v>
      </x:c>
      <x:c r="G133" s="49" t="str">
        <x:v>兰亭</x:v>
      </x:c>
      <x:c r="H133" s="37" t="n">
        <x:v>28.8</x:v>
      </x:c>
      <x:c r="I133" s="37" t="n">
        <x:v>28.8</x:v>
      </x:c>
      <x:c r="J133" s="40" t="n">
        <x:v>859</x:v>
      </x:c>
      <x:c r="K133" s="40" t="n">
        <x:v>828</x:v>
      </x:c>
      <x:c r="L133" s="40" t="n">
        <x:v>721</x:v>
      </x:c>
      <x:c r="M133" s="40" t="n">
        <x:v>648</x:v>
      </x:c>
      <x:c r="N133" s="40" t="n">
        <x:v>749</x:v>
      </x:c>
      <x:c r="O133" s="40" t="n">
        <x:v>759</x:v>
      </x:c>
      <x:c r="P133" s="40" t="n">
        <x:f>IF(COUNT(J133:O133)=0,"",SUM(J133:O133))</x:f>
        <x:v>4564</x:v>
      </x:c>
      <x:c r="Q133" s="40" t="n">
        <x:v>2843664480</x:v>
      </x:c>
      <x:c r="R133" s="40" t="n">
        <x:v>89858310</x:v>
      </x:c>
      <x:c r="S133" s="40" t="n">
        <x:v>245047533</x:v>
      </x:c>
      <x:c r="T133" s="40" t="n">
        <x:v>0</x:v>
      </x:c>
      <x:c r="U133" s="40" t="n">
        <x:v>105360</x:v>
      </x:c>
      <x:c r="V133" s="49" t="str">
        <x:v>宫阙3级</x:v>
      </x:c>
      <x:c r="W133" s="49" t="n">
        <x:v>4</x:v>
      </x:c>
      <x:c r="X133" s="52" t="n">
        <x:f>ROUND(100*(0.4*LN(1+Q133)/LN(1+MAX($Q$5:$Q$395))+0.35*R133/MAX($R$5:$R$395)+0.15*S133/MAX($S$5:$S$395)+IF(P133="",0,0.1*P133/MAX($P$5:$P$395)))/IF(P133="",0.9,1),1)</x:f>
        <x:v>74.8</x:v>
      </x:c>
      <x:c r="Y133" s="49" t="n">
        <x:f>RANK.EQ(X133,$X$5:$X$395,0)</x:f>
        <x:v>113</x:v>
      </x:c>
      <x:c r="Z133" s="34" t="str">
        <x:v>保持当前盟，减少迁移成本</x:v>
      </x:c>
      <x:c r="AA133" s="55"/>
    </x:row>
    <x:row r="134" ht="20" customHeight="1">
      <x:c r="A134" s="46" t="n">
        <x:v>8</x:v>
      </x:c>
      <x:c r="B134" s="27" t="str">
        <x:v>灬砂糖橘丶</x:v>
      </x:c>
      <x:c r="C134" s="49" t="str">
        <x:v>花晨</x:v>
      </x:c>
      <x:c r="D134" s="49" t="str">
        <x:v>花晨</x:v>
      </x:c>
      <x:c r="E134" s="49" t="str">
        <x:v>留盟</x:v>
      </x:c>
      <x:c r="F134" s="49" t="str">
        <x:v>花晨</x:v>
      </x:c>
      <x:c r="G134" s="49" t="str">
        <x:v>花晨</x:v>
      </x:c>
      <x:c r="H134" s="37" t="n">
        <x:v>28.8</x:v>
      </x:c>
      <x:c r="I134" s="37" t="n">
        <x:v>28.8</x:v>
      </x:c>
      <x:c r="J134" s="40" t="n">
        <x:v>811</x:v>
      </x:c>
      <x:c r="K134" s="40" t="n">
        <x:v>910</x:v>
      </x:c>
      <x:c r="L134" s="40" t="n">
        <x:v>726</x:v>
      </x:c>
      <x:c r="M134" s="40" t="n">
        <x:v>588</x:v>
      </x:c>
      <x:c r="N134" s="40" t="n">
        <x:v>771</x:v>
      </x:c>
      <x:c r="O134" s="40" t="n">
        <x:v>789</x:v>
      </x:c>
      <x:c r="P134" s="40" t="n">
        <x:f>IF(COUNT(J134:O134)=0,"",SUM(J134:O134))</x:f>
        <x:v>4595</x:v>
      </x:c>
      <x:c r="Q134" s="40" t="n">
        <x:v>8672145449</x:v>
      </x:c>
      <x:c r="R134" s="40" t="n">
        <x:v>85193314</x:v>
      </x:c>
      <x:c r="S134" s="40" t="n">
        <x:v>202281842</x:v>
      </x:c>
      <x:c r="T134" s="40" t="n">
        <x:v>0</x:v>
      </x:c>
      <x:c r="U134" s="40" t="n">
        <x:v>116880</x:v>
      </x:c>
      <x:c r="V134" s="49" t="str">
        <x:v>宫阙3级</x:v>
      </x:c>
      <x:c r="W134" s="49" t="n">
        <x:v>3</x:v>
      </x:c>
      <x:c r="X134" s="52" t="n">
        <x:f>ROUND(100*(0.4*LN(1+Q134)/LN(1+MAX($Q$5:$Q$395))+0.35*R134/MAX($R$5:$R$395)+0.15*S134/MAX($S$5:$S$395)+IF(P134="",0,0.1*P134/MAX($P$5:$P$395)))/IF(P134="",0.9,1),1)</x:f>
        <x:v>74.3</x:v>
      </x:c>
      <x:c r="Y134" s="49" t="n">
        <x:f>RANK.EQ(X134,$X$5:$X$395,0)</x:f>
        <x:v>121</x:v>
      </x:c>
      <x:c r="Z134" s="34" t="str">
        <x:v>保持当前盟，减少迁移成本</x:v>
      </x:c>
      <x:c r="AA134" s="55"/>
    </x:row>
    <x:row r="135" ht="20" customHeight="1">
      <x:c r="A135" s="46" t="n">
        <x:v>82</x:v>
      </x:c>
      <x:c r="B135" s="27" t="str">
        <x:v>妮心心</x:v>
      </x:c>
      <x:c r="C135" s="49" t="str">
        <x:v>花晨</x:v>
      </x:c>
      <x:c r="D135" s="49" t="str">
        <x:v>花晨</x:v>
      </x:c>
      <x:c r="E135" s="49" t="str">
        <x:v>留盟</x:v>
      </x:c>
      <x:c r="F135" s="49" t="str">
        <x:v>花晨</x:v>
      </x:c>
      <x:c r="G135" s="49"/>
      <x:c r="H135" s="37"/>
      <x:c r="I135" s="37"/>
      <x:c r="J135" s="40"/>
      <x:c r="K135" s="40"/>
      <x:c r="L135" s="40"/>
      <x:c r="M135" s="40"/>
      <x:c r="N135" s="40"/>
      <x:c r="O135" s="40"/>
      <x:c r="P135" s="40" t="str">
        <x:f>IF(COUNT(J135:O135)=0,"",SUM(J135:O135))</x:f>
      </x:c>
      <x:c r="Q135" s="40" t="n">
        <x:v>959278674</x:v>
      </x:c>
      <x:c r="R135" s="40" t="n">
        <x:v>86840700</x:v>
      </x:c>
      <x:c r="S135" s="40" t="n">
        <x:v>306028679</x:v>
      </x:c>
      <x:c r="T135" s="40" t="n">
        <x:v>0</x:v>
      </x:c>
      <x:c r="U135" s="40" t="n">
        <x:v>103920</x:v>
      </x:c>
      <x:c r="V135" s="49" t="str">
        <x:v>宫阙3级</x:v>
      </x:c>
      <x:c r="W135" s="49" t="n">
        <x:v>1</x:v>
      </x:c>
      <x:c r="X135" s="52" t="n">
        <x:f>ROUND(100*(0.4*LN(1+Q135)/LN(1+MAX($Q$5:$Q$395))+0.35*R135/MAX($R$5:$R$395)+0.15*S135/MAX($S$5:$S$395)+IF(P135="",0,0.1*P135/MAX($P$5:$P$395)))/IF(P135="",0.9,1),1)</x:f>
        <x:v>74.2</x:v>
      </x:c>
      <x:c r="Y135" s="49" t="n">
        <x:f>RANK.EQ(X135,$X$5:$X$395,0)</x:f>
        <x:v>123</x:v>
      </x:c>
      <x:c r="Z135" s="34" t="str">
        <x:v>保持当前盟，减少迁移成本</x:v>
      </x:c>
      <x:c r="AA135" s="55" t="str">
        <x:v>六维未匹配</x:v>
      </x:c>
    </x:row>
    <x:row r="136" ht="20" customHeight="1">
      <x:c r="A136" s="46" t="n">
        <x:v>51</x:v>
      </x:c>
      <x:c r="B136" s="27" t="str">
        <x:v>大圣哥</x:v>
      </x:c>
      <x:c r="C136" s="49" t="str">
        <x:v>花晨</x:v>
      </x:c>
      <x:c r="D136" s="49" t="str">
        <x:v>花晨</x:v>
      </x:c>
      <x:c r="E136" s="49" t="str">
        <x:v>留盟</x:v>
      </x:c>
      <x:c r="F136" s="49" t="str">
        <x:v>花晨</x:v>
      </x:c>
      <x:c r="G136" s="49" t="str">
        <x:v>花晨</x:v>
      </x:c>
      <x:c r="H136" s="37" t="n">
        <x:v>28.8</x:v>
      </x:c>
      <x:c r="I136" s="37" t="n">
        <x:v>22.5</x:v>
      </x:c>
      <x:c r="J136" s="40" t="n">
        <x:v>766</x:v>
      </x:c>
      <x:c r="K136" s="40" t="n">
        <x:v>816</x:v>
      </x:c>
      <x:c r="L136" s="40" t="n">
        <x:v>628</x:v>
      </x:c>
      <x:c r="M136" s="40" t="n">
        <x:v>592</x:v>
      </x:c>
      <x:c r="N136" s="40" t="n">
        <x:v>707</x:v>
      </x:c>
      <x:c r="O136" s="40" t="n">
        <x:v>742</x:v>
      </x:c>
      <x:c r="P136" s="40" t="n">
        <x:f>IF(COUNT(J136:O136)=0,"",SUM(J136:O136))</x:f>
        <x:v>4251</x:v>
      </x:c>
      <x:c r="Q136" s="40" t="n">
        <x:v>2398030892</x:v>
      </x:c>
      <x:c r="R136" s="40" t="n">
        <x:v>87649184</x:v>
      </x:c>
      <x:c r="S136" s="40" t="n">
        <x:v>262812523</x:v>
      </x:c>
      <x:c r="T136" s="40" t="n">
        <x:v>0</x:v>
      </x:c>
      <x:c r="U136" s="40" t="n">
        <x:v>45680</x:v>
      </x:c>
      <x:c r="V136" s="49" t="str">
        <x:v>宫阙3级</x:v>
      </x:c>
      <x:c r="W136" s="49" t="n">
        <x:v>1</x:v>
      </x:c>
      <x:c r="X136" s="52" t="n">
        <x:f>ROUND(100*(0.4*LN(1+Q136)/LN(1+MAX($Q$5:$Q$395))+0.35*R136/MAX($R$5:$R$395)+0.15*S136/MAX($S$5:$S$395)+IF(P136="",0,0.1*P136/MAX($P$5:$P$395)))/IF(P136="",0.9,1),1)</x:f>
        <x:v>73.9</x:v>
      </x:c>
      <x:c r="Y136" s="49" t="n">
        <x:f>RANK.EQ(X136,$X$5:$X$395,0)</x:f>
        <x:v>127</x:v>
      </x:c>
      <x:c r="Z136" s="34" t="str">
        <x:v>保持当前盟，减少迁移成本</x:v>
      </x:c>
      <x:c r="AA136" s="55"/>
    </x:row>
    <x:row r="137" ht="20" customHeight="1">
      <x:c r="A137" s="46" t="n">
        <x:v>74</x:v>
      </x:c>
      <x:c r="B137" s="27" t="str">
        <x:v>陌陌的默默</x:v>
      </x:c>
      <x:c r="C137" s="49" t="str">
        <x:v>花晨</x:v>
      </x:c>
      <x:c r="D137" s="49" t="str">
        <x:v>花晨</x:v>
      </x:c>
      <x:c r="E137" s="49" t="str">
        <x:v>留盟</x:v>
      </x:c>
      <x:c r="F137" s="49" t="str">
        <x:v>花晨</x:v>
      </x:c>
      <x:c r="G137" s="49" t="str">
        <x:v>玲珑</x:v>
      </x:c>
      <x:c r="H137" s="37" t="n">
        <x:v>28.7</x:v>
      </x:c>
      <x:c r="I137" s="37" t="n">
        <x:v>26.2</x:v>
      </x:c>
      <x:c r="J137" s="40" t="n">
        <x:v>711</x:v>
      </x:c>
      <x:c r="K137" s="40" t="n">
        <x:v>742</x:v>
      </x:c>
      <x:c r="L137" s="40" t="n">
        <x:v>624</x:v>
      </x:c>
      <x:c r="M137" s="40" t="n">
        <x:v>499</x:v>
      </x:c>
      <x:c r="N137" s="40" t="n">
        <x:v>708</x:v>
      </x:c>
      <x:c r="O137" s="40" t="n">
        <x:v>658</x:v>
      </x:c>
      <x:c r="P137" s="40" t="n">
        <x:f>IF(COUNT(J137:O137)=0,"",SUM(J137:O137))</x:f>
        <x:v>3942</x:v>
      </x:c>
      <x:c r="Q137" s="40" t="n">
        <x:v>1418993918</x:v>
      </x:c>
      <x:c r="R137" s="40" t="n">
        <x:v>86633044</x:v>
      </x:c>
      <x:c r="S137" s="40" t="n">
        <x:v>318362776</x:v>
      </x:c>
      <x:c r="T137" s="40" t="n">
        <x:v>0</x:v>
      </x:c>
      <x:c r="U137" s="40" t="n">
        <x:v>102960</x:v>
      </x:c>
      <x:c r="V137" s="49" t="str">
        <x:v>宫阙3级</x:v>
      </x:c>
      <x:c r="W137" s="49" t="n">
        <x:v>1</x:v>
      </x:c>
      <x:c r="X137" s="52" t="n">
        <x:f>ROUND(100*(0.4*LN(1+Q137)/LN(1+MAX($Q$5:$Q$395))+0.35*R137/MAX($R$5:$R$395)+0.15*S137/MAX($S$5:$S$395)+IF(P137="",0,0.1*P137/MAX($P$5:$P$395)))/IF(P137="",0.9,1),1)</x:f>
        <x:v>73.9</x:v>
      </x:c>
      <x:c r="Y137" s="49" t="n">
        <x:f>RANK.EQ(X137,$X$5:$X$395,0)</x:f>
        <x:v>127</x:v>
      </x:c>
      <x:c r="Z137" s="34" t="str">
        <x:v>保持当前盟，减少迁移成本</x:v>
      </x:c>
      <x:c r="AA137" s="55"/>
    </x:row>
    <x:row r="138" ht="20" customHeight="1">
      <x:c r="A138" s="46" t="n">
        <x:v>80</x:v>
      </x:c>
      <x:c r="B138" s="27" t="str">
        <x:v>小石头</x:v>
      </x:c>
      <x:c r="C138" s="49" t="str">
        <x:v>花晨</x:v>
      </x:c>
      <x:c r="D138" s="49" t="str">
        <x:v>花晨</x:v>
      </x:c>
      <x:c r="E138" s="49" t="str">
        <x:v>留盟</x:v>
      </x:c>
      <x:c r="F138" s="49" t="str">
        <x:v>花晨</x:v>
      </x:c>
      <x:c r="G138" s="49"/>
      <x:c r="H138" s="37"/>
      <x:c r="I138" s="37"/>
      <x:c r="J138" s="40"/>
      <x:c r="K138" s="40"/>
      <x:c r="L138" s="40"/>
      <x:c r="M138" s="40"/>
      <x:c r="N138" s="40"/>
      <x:c r="O138" s="40"/>
      <x:c r="P138" s="40" t="str">
        <x:f>IF(COUNT(J138:O138)=0,"",SUM(J138:O138))</x:f>
      </x:c>
      <x:c r="Q138" s="40" t="n">
        <x:v>996704614</x:v>
      </x:c>
      <x:c r="R138" s="40" t="n">
        <x:v>89043424</x:v>
      </x:c>
      <x:c r="S138" s="40" t="n">
        <x:v>267942534</x:v>
      </x:c>
      <x:c r="T138" s="40" t="n">
        <x:v>0</x:v>
      </x:c>
      <x:c r="U138" s="40" t="n">
        <x:v>100080</x:v>
      </x:c>
      <x:c r="V138" s="49" t="str">
        <x:v>宫阙3级</x:v>
      </x:c>
      <x:c r="W138" s="49" t="n">
        <x:v>3</x:v>
      </x:c>
      <x:c r="X138" s="52" t="n">
        <x:f>ROUND(100*(0.4*LN(1+Q138)/LN(1+MAX($Q$5:$Q$395))+0.35*R138/MAX($R$5:$R$395)+0.15*S138/MAX($S$5:$S$395)+IF(P138="",0,0.1*P138/MAX($P$5:$P$395)))/IF(P138="",0.9,1),1)</x:f>
        <x:v>73.7</x:v>
      </x:c>
      <x:c r="Y138" s="49" t="n">
        <x:f>RANK.EQ(X138,$X$5:$X$395,0)</x:f>
        <x:v>132</x:v>
      </x:c>
      <x:c r="Z138" s="34" t="str">
        <x:v>保持当前盟，减少迁移成本</x:v>
      </x:c>
      <x:c r="AA138" s="55" t="str">
        <x:v>六维未匹配</x:v>
      </x:c>
    </x:row>
    <x:row r="139" ht="20" customHeight="1">
      <x:c r="A139" s="46" t="n">
        <x:v>50</x:v>
      </x:c>
      <x:c r="B139" s="27" t="str">
        <x:v>清风明月</x:v>
      </x:c>
      <x:c r="C139" s="49" t="str">
        <x:v>花晨</x:v>
      </x:c>
      <x:c r="D139" s="49" t="str">
        <x:v>花晨</x:v>
      </x:c>
      <x:c r="E139" s="49" t="str">
        <x:v>留盟</x:v>
      </x:c>
      <x:c r="F139" s="49" t="str">
        <x:v>花晨</x:v>
      </x:c>
      <x:c r="G139" s="49" t="str">
        <x:v>兰亭</x:v>
      </x:c>
      <x:c r="H139" s="37" t="n">
        <x:v>28.3</x:v>
      </x:c>
      <x:c r="I139" s="37" t="n">
        <x:v>28.3</x:v>
      </x:c>
      <x:c r="J139" s="40" t="n">
        <x:v>713</x:v>
      </x:c>
      <x:c r="K139" s="40" t="n">
        <x:v>800</x:v>
      </x:c>
      <x:c r="L139" s="40" t="n">
        <x:v>634</x:v>
      </x:c>
      <x:c r="M139" s="40" t="n">
        <x:v>590</x:v>
      </x:c>
      <x:c r="N139" s="40" t="n">
        <x:v>685</x:v>
      </x:c>
      <x:c r="O139" s="40" t="n">
        <x:v>720</x:v>
      </x:c>
      <x:c r="P139" s="40" t="n">
        <x:f>IF(COUNT(J139:O139)=0,"",SUM(J139:O139))</x:f>
        <x:v>4142</x:v>
      </x:c>
      <x:c r="Q139" s="40" t="n">
        <x:v>2529096638</x:v>
      </x:c>
      <x:c r="R139" s="40" t="n">
        <x:v>85924669</x:v>
      </x:c>
      <x:c r="S139" s="40" t="n">
        <x:v>260169002</x:v>
      </x:c>
      <x:c r="T139" s="40" t="n">
        <x:v>0</x:v>
      </x:c>
      <x:c r="U139" s="40" t="n">
        <x:v>125280</x:v>
      </x:c>
      <x:c r="V139" s="49" t="str">
        <x:v>宫阙3级</x:v>
      </x:c>
      <x:c r="W139" s="49" t="n">
        <x:v>1</x:v>
      </x:c>
      <x:c r="X139" s="52" t="n">
        <x:f>ROUND(100*(0.4*LN(1+Q139)/LN(1+MAX($Q$5:$Q$395))+0.35*R139/MAX($R$5:$R$395)+0.15*S139/MAX($S$5:$S$395)+IF(P139="",0,0.1*P139/MAX($P$5:$P$395)))/IF(P139="",0.9,1),1)</x:f>
        <x:v>73.3</x:v>
      </x:c>
      <x:c r="Y139" s="49" t="n">
        <x:f>RANK.EQ(X139,$X$5:$X$395,0)</x:f>
        <x:v>136</x:v>
      </x:c>
      <x:c r="Z139" s="34" t="str">
        <x:v>保持当前盟，减少迁移成本</x:v>
      </x:c>
      <x:c r="AA139" s="55"/>
    </x:row>
    <x:row r="140" ht="20" customHeight="1">
      <x:c r="A140" s="46" t="n">
        <x:v>49</x:v>
      </x:c>
      <x:c r="B140" s="27" t="str">
        <x:v>无双战戟</x:v>
      </x:c>
      <x:c r="C140" s="49" t="str">
        <x:v>花晨</x:v>
      </x:c>
      <x:c r="D140" s="49" t="str">
        <x:v>花晨</x:v>
      </x:c>
      <x:c r="E140" s="49" t="str">
        <x:v>留盟</x:v>
      </x:c>
      <x:c r="F140" s="49" t="str">
        <x:v>花晨</x:v>
      </x:c>
      <x:c r="G140" s="49" t="str">
        <x:v>花晨</x:v>
      </x:c>
      <x:c r="H140" s="37" t="n">
        <x:v>28</x:v>
      </x:c>
      <x:c r="I140" s="37" t="n">
        <x:v>22.5</x:v>
      </x:c>
      <x:c r="J140" s="40" t="n">
        <x:v>725</x:v>
      </x:c>
      <x:c r="K140" s="40" t="n">
        <x:v>876</x:v>
      </x:c>
      <x:c r="L140" s="40" t="n">
        <x:v>616</x:v>
      </x:c>
      <x:c r="M140" s="40" t="n">
        <x:v>624</x:v>
      </x:c>
      <x:c r="N140" s="40" t="n">
        <x:v>732</x:v>
      </x:c>
      <x:c r="O140" s="40" t="n">
        <x:v>770</x:v>
      </x:c>
      <x:c r="P140" s="40" t="n">
        <x:f>IF(COUNT(J140:O140)=0,"",SUM(J140:O140))</x:f>
        <x:v>4343</x:v>
      </x:c>
      <x:c r="Q140" s="40" t="n">
        <x:v>2557210926</x:v>
      </x:c>
      <x:c r="R140" s="40" t="n">
        <x:v>84844077</x:v>
      </x:c>
      <x:c r="S140" s="40" t="n">
        <x:v>254262839</x:v>
      </x:c>
      <x:c r="T140" s="40" t="n">
        <x:v>0</x:v>
      </x:c>
      <x:c r="U140" s="40" t="n">
        <x:v>129360</x:v>
      </x:c>
      <x:c r="V140" s="49" t="str">
        <x:v>宫阙3级</x:v>
      </x:c>
      <x:c r="W140" s="49" t="n">
        <x:v>1</x:v>
      </x:c>
      <x:c r="X140" s="52" t="n">
        <x:f>ROUND(100*(0.4*LN(1+Q140)/LN(1+MAX($Q$5:$Q$395))+0.35*R140/MAX($R$5:$R$395)+0.15*S140/MAX($S$5:$S$395)+IF(P140="",0,0.1*P140/MAX($P$5:$P$395)))/IF(P140="",0.9,1),1)</x:f>
        <x:v>73.2</x:v>
      </x:c>
      <x:c r="Y140" s="49" t="n">
        <x:f>RANK.EQ(X140,$X$5:$X$395,0)</x:f>
        <x:v>139</x:v>
      </x:c>
      <x:c r="Z140" s="34" t="str">
        <x:v>保持当前盟，减少迁移成本</x:v>
      </x:c>
      <x:c r="AA140" s="55"/>
    </x:row>
    <x:row r="141" ht="20" customHeight="1">
      <x:c r="A141" s="46" t="n">
        <x:v>33</x:v>
      </x:c>
      <x:c r="B141" s="27" t="str">
        <x:v>曾经少年</x:v>
      </x:c>
      <x:c r="C141" s="49" t="str">
        <x:v>花晨</x:v>
      </x:c>
      <x:c r="D141" s="49" t="str">
        <x:v>花晨</x:v>
      </x:c>
      <x:c r="E141" s="49" t="str">
        <x:v>留盟</x:v>
      </x:c>
      <x:c r="F141" s="49" t="str">
        <x:v>燕云</x:v>
      </x:c>
      <x:c r="G141" s="49"/>
      <x:c r="H141" s="37"/>
      <x:c r="I141" s="37"/>
      <x:c r="J141" s="40"/>
      <x:c r="K141" s="40"/>
      <x:c r="L141" s="40"/>
      <x:c r="M141" s="40"/>
      <x:c r="N141" s="40"/>
      <x:c r="O141" s="40"/>
      <x:c r="P141" s="40" t="str">
        <x:f>IF(COUNT(J141:O141)=0,"",SUM(J141:O141))</x:f>
      </x:c>
      <x:c r="Q141" s="40" t="n">
        <x:v>3286121122</x:v>
      </x:c>
      <x:c r="R141" s="40" t="n">
        <x:v>75136562</x:v>
      </x:c>
      <x:c r="S141" s="40" t="n">
        <x:v>297743104</x:v>
      </x:c>
      <x:c r="T141" s="40" t="n">
        <x:v>0</x:v>
      </x:c>
      <x:c r="U141" s="40" t="n">
        <x:v>156480</x:v>
      </x:c>
      <x:c r="V141" s="49" t="str">
        <x:v>宫阙3级</x:v>
      </x:c>
      <x:c r="W141" s="49" t="n">
        <x:v>2</x:v>
      </x:c>
      <x:c r="X141" s="52" t="n">
        <x:f>ROUND(100*(0.4*LN(1+Q141)/LN(1+MAX($Q$5:$Q$395))+0.35*R141/MAX($R$5:$R$395)+0.15*S141/MAX($S$5:$S$395)+IF(P141="",0,0.1*P141/MAX($P$5:$P$395)))/IF(P141="",0.9,1),1)</x:f>
        <x:v>72.9</x:v>
      </x:c>
      <x:c r="Y141" s="49" t="n">
        <x:f>RANK.EQ(X141,$X$5:$X$395,0)</x:f>
        <x:v>147</x:v>
      </x:c>
      <x:c r="Z141" s="34" t="str">
        <x:v>保持当前盟，减少迁移成本</x:v>
      </x:c>
      <x:c r="AA141" s="55" t="str">
        <x:v>六维未匹配</x:v>
      </x:c>
    </x:row>
    <x:row r="142" ht="20" customHeight="1">
      <x:c r="A142" s="46" t="n">
        <x:v>6</x:v>
      </x:c>
      <x:c r="B142" s="27" t="str">
        <x:v>独具匠心洗洁精</x:v>
      </x:c>
      <x:c r="C142" s="49" t="str">
        <x:v>花晨</x:v>
      </x:c>
      <x:c r="D142" s="49" t="str">
        <x:v>花晨</x:v>
      </x:c>
      <x:c r="E142" s="49" t="str">
        <x:v>留盟</x:v>
      </x:c>
      <x:c r="F142" s="49" t="str">
        <x:v>花晨</x:v>
      </x:c>
      <x:c r="G142" s="49" t="str">
        <x:v>花晨</x:v>
      </x:c>
      <x:c r="H142" s="37" t="n">
        <x:v>27.3</x:v>
      </x:c>
      <x:c r="I142" s="37" t="n">
        <x:v>26.7</x:v>
      </x:c>
      <x:c r="J142" s="40" t="n">
        <x:v>622</x:v>
      </x:c>
      <x:c r="K142" s="40" t="n">
        <x:v>723</x:v>
      </x:c>
      <x:c r="L142" s="40" t="n">
        <x:v>621</x:v>
      </x:c>
      <x:c r="M142" s="40" t="n">
        <x:v>503</x:v>
      </x:c>
      <x:c r="N142" s="40" t="n">
        <x:v>624</x:v>
      </x:c>
      <x:c r="O142" s="40" t="n">
        <x:v>626</x:v>
      </x:c>
      <x:c r="P142" s="40" t="n">
        <x:f>IF(COUNT(J142:O142)=0,"",SUM(J142:O142))</x:f>
        <x:v>3719</x:v>
      </x:c>
      <x:c r="Q142" s="40" t="n">
        <x:v>9325902160</x:v>
      </x:c>
      <x:c r="R142" s="40" t="n">
        <x:v>77078572</x:v>
      </x:c>
      <x:c r="S142" s="40" t="n">
        <x:v>256898425</x:v>
      </x:c>
      <x:c r="T142" s="40" t="n">
        <x:v>0</x:v>
      </x:c>
      <x:c r="U142" s="40" t="n">
        <x:v>110640</x:v>
      </x:c>
      <x:c r="V142" s="49" t="str">
        <x:v>宫阙3级</x:v>
      </x:c>
      <x:c r="W142" s="49" t="n">
        <x:v>3</x:v>
      </x:c>
      <x:c r="X142" s="52" t="n">
        <x:f>ROUND(100*(0.4*LN(1+Q142)/LN(1+MAX($Q$5:$Q$395))+0.35*R142/MAX($R$5:$R$395)+0.15*S142/MAX($S$5:$S$395)+IF(P142="",0,0.1*P142/MAX($P$5:$P$395)))/IF(P142="",0.9,1),1)</x:f>
        <x:v>72.5</x:v>
      </x:c>
      <x:c r="Y142" s="49" t="n">
        <x:f>RANK.EQ(X142,$X$5:$X$395,0)</x:f>
        <x:v>152</x:v>
      </x:c>
      <x:c r="Z142" s="34" t="str">
        <x:v>保持当前盟，减少迁移成本</x:v>
      </x:c>
      <x:c r="AA142" s="55"/>
    </x:row>
    <x:row r="143" ht="20" customHeight="1">
      <x:c r="A143" s="46" t="n">
        <x:v>69</x:v>
      </x:c>
      <x:c r="B143" s="27" t="str">
        <x:v>零陵上将军邢道荣</x:v>
      </x:c>
      <x:c r="C143" s="49" t="str">
        <x:v>花晨</x:v>
      </x:c>
      <x:c r="D143" s="49" t="str">
        <x:v>花晨</x:v>
      </x:c>
      <x:c r="E143" s="49" t="str">
        <x:v>留盟</x:v>
      </x:c>
      <x:c r="F143" s="49" t="str">
        <x:v>花晨</x:v>
      </x:c>
      <x:c r="G143" s="49"/>
      <x:c r="H143" s="37"/>
      <x:c r="I143" s="37"/>
      <x:c r="J143" s="40"/>
      <x:c r="K143" s="40"/>
      <x:c r="L143" s="40"/>
      <x:c r="M143" s="40"/>
      <x:c r="N143" s="40"/>
      <x:c r="O143" s="40"/>
      <x:c r="P143" s="40" t="str">
        <x:f>IF(COUNT(J143:O143)=0,"",SUM(J143:O143))</x:f>
      </x:c>
      <x:c r="Q143" s="40" t="n">
        <x:v>1694511650</x:v>
      </x:c>
      <x:c r="R143" s="40" t="n">
        <x:v>79480502</x:v>
      </x:c>
      <x:c r="S143" s="40" t="n">
        <x:v>282445985</x:v>
      </x:c>
      <x:c r="T143" s="40" t="n">
        <x:v>0</x:v>
      </x:c>
      <x:c r="U143" s="40" t="n">
        <x:v>68320</x:v>
      </x:c>
      <x:c r="V143" s="49" t="str">
        <x:v>宫阙3级</x:v>
      </x:c>
      <x:c r="W143" s="49" t="n">
        <x:v>1</x:v>
      </x:c>
      <x:c r="X143" s="52" t="n">
        <x:f>ROUND(100*(0.4*LN(1+Q143)/LN(1+MAX($Q$5:$Q$395))+0.35*R143/MAX($R$5:$R$395)+0.15*S143/MAX($S$5:$S$395)+IF(P143="",0,0.1*P143/MAX($P$5:$P$395)))/IF(P143="",0.9,1),1)</x:f>
        <x:v>72.4</x:v>
      </x:c>
      <x:c r="Y143" s="49" t="n">
        <x:f>RANK.EQ(X143,$X$5:$X$395,0)</x:f>
        <x:v>154</x:v>
      </x:c>
      <x:c r="Z143" s="34" t="str">
        <x:v>保持当前盟，减少迁移成本</x:v>
      </x:c>
      <x:c r="AA143" s="55" t="str">
        <x:v>六维未匹配</x:v>
      </x:c>
    </x:row>
    <x:row r="144" ht="20" customHeight="1">
      <x:c r="A144" s="46" t="n">
        <x:v>24</x:v>
      </x:c>
      <x:c r="B144" s="27" t="str">
        <x:v>军临天下</x:v>
      </x:c>
      <x:c r="C144" s="49" t="str">
        <x:v>花晨</x:v>
      </x:c>
      <x:c r="D144" s="49" t="str">
        <x:v>花晨</x:v>
      </x:c>
      <x:c r="E144" s="49" t="str">
        <x:v>留盟</x:v>
      </x:c>
      <x:c r="F144" s="49" t="str">
        <x:v>花晨</x:v>
      </x:c>
      <x:c r="G144" s="49" t="str">
        <x:v>兰亭</x:v>
      </x:c>
      <x:c r="H144" s="37" t="n">
        <x:v>28.3</x:v>
      </x:c>
      <x:c r="I144" s="37" t="n">
        <x:v>28.3</x:v>
      </x:c>
      <x:c r="J144" s="40" t="n">
        <x:v>701</x:v>
      </x:c>
      <x:c r="K144" s="40" t="n">
        <x:v>777</x:v>
      </x:c>
      <x:c r="L144" s="40" t="n">
        <x:v>704</x:v>
      </x:c>
      <x:c r="M144" s="40" t="n">
        <x:v>562</x:v>
      </x:c>
      <x:c r="N144" s="40" t="n">
        <x:v>722</x:v>
      </x:c>
      <x:c r="O144" s="40" t="n">
        <x:v>723</x:v>
      </x:c>
      <x:c r="P144" s="40" t="n">
        <x:f>IF(COUNT(J144:O144)=0,"",SUM(J144:O144))</x:f>
        <x:v>4189</x:v>
      </x:c>
      <x:c r="Q144" s="40" t="n">
        <x:v>4690492794</x:v>
      </x:c>
      <x:c r="R144" s="40" t="n">
        <x:v>81142724</x:v>
      </x:c>
      <x:c r="S144" s="40" t="n">
        <x:v>231820739</x:v>
      </x:c>
      <x:c r="T144" s="40" t="n">
        <x:v>0</x:v>
      </x:c>
      <x:c r="U144" s="40" t="n">
        <x:v>49840</x:v>
      </x:c>
      <x:c r="V144" s="49" t="str">
        <x:v>宫阙3级</x:v>
      </x:c>
      <x:c r="W144" s="49" t="n">
        <x:v>1</x:v>
      </x:c>
      <x:c r="X144" s="52" t="n">
        <x:f>ROUND(100*(0.4*LN(1+Q144)/LN(1+MAX($Q$5:$Q$395))+0.35*R144/MAX($R$5:$R$395)+0.15*S144/MAX($S$5:$S$395)+IF(P144="",0,0.1*P144/MAX($P$5:$P$395)))/IF(P144="",0.9,1),1)</x:f>
        <x:v>72.4</x:v>
      </x:c>
      <x:c r="Y144" s="49" t="n">
        <x:f>RANK.EQ(X144,$X$5:$X$395,0)</x:f>
        <x:v>154</x:v>
      </x:c>
      <x:c r="Z144" s="34" t="str">
        <x:v>保持当前盟，减少迁移成本</x:v>
      </x:c>
      <x:c r="AA144" s="55"/>
    </x:row>
    <x:row r="145" ht="20" customHeight="1">
      <x:c r="A145" s="46" t="n">
        <x:v>65</x:v>
      </x:c>
      <x:c r="B145" s="27" t="str">
        <x:v>囤囤鼠</x:v>
      </x:c>
      <x:c r="C145" s="49" t="str">
        <x:v>花晨</x:v>
      </x:c>
      <x:c r="D145" s="49" t="str">
        <x:v>花晨</x:v>
      </x:c>
      <x:c r="E145" s="49" t="str">
        <x:v>留盟</x:v>
      </x:c>
      <x:c r="F145" s="49" t="str">
        <x:v>花晨</x:v>
      </x:c>
      <x:c r="G145" s="49" t="str">
        <x:v>花晨</x:v>
      </x:c>
      <x:c r="H145" s="37" t="n">
        <x:v>25.9</x:v>
      </x:c>
      <x:c r="I145" s="37" t="n">
        <x:v>25.9</x:v>
      </x:c>
      <x:c r="J145" s="40" t="n">
        <x:v>718</x:v>
      </x:c>
      <x:c r="K145" s="40" t="n">
        <x:v>725</x:v>
      </x:c>
      <x:c r="L145" s="40" t="n">
        <x:v>585</x:v>
      </x:c>
      <x:c r="M145" s="40" t="n">
        <x:v>400</x:v>
      </x:c>
      <x:c r="N145" s="40" t="n">
        <x:v>815</x:v>
      </x:c>
      <x:c r="O145" s="40" t="n">
        <x:v>917</x:v>
      </x:c>
      <x:c r="P145" s="40" t="n">
        <x:f>IF(COUNT(J145:O145)=0,"",SUM(J145:O145))</x:f>
        <x:v>4160</x:v>
      </x:c>
      <x:c r="Q145" s="40" t="n">
        <x:v>1785560642</x:v>
      </x:c>
      <x:c r="R145" s="40" t="n">
        <x:v>83118170</x:v>
      </x:c>
      <x:c r="S145" s="40" t="n">
        <x:v>268108489</x:v>
      </x:c>
      <x:c r="T145" s="40" t="n">
        <x:v>0</x:v>
      </x:c>
      <x:c r="U145" s="40" t="n">
        <x:v>144320</x:v>
      </x:c>
      <x:c r="V145" s="49" t="str">
        <x:v>宫阙3级</x:v>
      </x:c>
      <x:c r="W145" s="49" t="n">
        <x:v>1</x:v>
      </x:c>
      <x:c r="X145" s="52" t="n">
        <x:f>ROUND(100*(0.4*LN(1+Q145)/LN(1+MAX($Q$5:$Q$395))+0.35*R145/MAX($R$5:$R$395)+0.15*S145/MAX($S$5:$S$395)+IF(P145="",0,0.1*P145/MAX($P$5:$P$395)))/IF(P145="",0.9,1),1)</x:f>
        <x:v>72.3</x:v>
      </x:c>
      <x:c r="Y145" s="49" t="n">
        <x:f>RANK.EQ(X145,$X$5:$X$395,0)</x:f>
        <x:v>156</x:v>
      </x:c>
      <x:c r="Z145" s="34" t="str">
        <x:v>保持当前盟，减少迁移成本</x:v>
      </x:c>
      <x:c r="AA145" s="55"/>
    </x:row>
    <x:row r="146" ht="20" customHeight="1">
      <x:c r="A146" s="46" t="n">
        <x:v>35</x:v>
      </x:c>
      <x:c r="B146" s="27" t="str">
        <x:v>元气少女郭德纲</x:v>
      </x:c>
      <x:c r="C146" s="49" t="str">
        <x:v>花晨</x:v>
      </x:c>
      <x:c r="D146" s="49" t="str">
        <x:v>花晨</x:v>
      </x:c>
      <x:c r="E146" s="49" t="str">
        <x:v>留盟</x:v>
      </x:c>
      <x:c r="F146" s="49" t="str">
        <x:v>玲珑</x:v>
      </x:c>
      <x:c r="G146" s="49" t="str">
        <x:v>兰亭</x:v>
      </x:c>
      <x:c r="H146" s="37" t="n">
        <x:v>26.5</x:v>
      </x:c>
      <x:c r="I146" s="37" t="n">
        <x:v>26.5</x:v>
      </x:c>
      <x:c r="J146" s="40" t="n">
        <x:v>721</x:v>
      </x:c>
      <x:c r="K146" s="40" t="n">
        <x:v>755</x:v>
      </x:c>
      <x:c r="L146" s="40" t="n">
        <x:v>641</x:v>
      </x:c>
      <x:c r="M146" s="40" t="n">
        <x:v>434</x:v>
      </x:c>
      <x:c r="N146" s="40" t="n">
        <x:v>676</x:v>
      </x:c>
      <x:c r="O146" s="40" t="n">
        <x:v>685</x:v>
      </x:c>
      <x:c r="P146" s="40" t="n">
        <x:f>IF(COUNT(J146:O146)=0,"",SUM(J146:O146))</x:f>
        <x:v>3912</x:v>
      </x:c>
      <x:c r="Q146" s="40" t="n">
        <x:v>3173592628</x:v>
      </x:c>
      <x:c r="R146" s="40" t="n">
        <x:v>82096356</x:v>
      </x:c>
      <x:c r="S146" s="40" t="n">
        <x:v>255083575</x:v>
      </x:c>
      <x:c r="T146" s="40" t="n">
        <x:v>0</x:v>
      </x:c>
      <x:c r="U146" s="40" t="n">
        <x:v>72240</x:v>
      </x:c>
      <x:c r="V146" s="49" t="str">
        <x:v>宫阙3级</x:v>
      </x:c>
      <x:c r="W146" s="49" t="n">
        <x:v>2</x:v>
      </x:c>
      <x:c r="X146" s="52" t="n">
        <x:f>ROUND(100*(0.4*LN(1+Q146)/LN(1+MAX($Q$5:$Q$395))+0.35*R146/MAX($R$5:$R$395)+0.15*S146/MAX($S$5:$S$395)+IF(P146="",0,0.1*P146/MAX($P$5:$P$395)))/IF(P146="",0.9,1),1)</x:f>
        <x:v>72.2</x:v>
      </x:c>
      <x:c r="Y146" s="49" t="n">
        <x:f>RANK.EQ(X146,$X$5:$X$395,0)</x:f>
        <x:v>158</x:v>
      </x:c>
      <x:c r="Z146" s="34" t="str">
        <x:v>保持当前盟，减少迁移成本</x:v>
      </x:c>
      <x:c r="AA146" s="55"/>
    </x:row>
    <x:row r="147" ht="20" customHeight="1">
      <x:c r="A147" s="46" t="n">
        <x:v>25</x:v>
      </x:c>
      <x:c r="B147" s="27" t="str">
        <x:v>星河拿铁</x:v>
      </x:c>
      <x:c r="C147" s="49" t="str">
        <x:v>花晨</x:v>
      </x:c>
      <x:c r="D147" s="49" t="str">
        <x:v>花晨</x:v>
      </x:c>
      <x:c r="E147" s="49" t="str">
        <x:v>留盟</x:v>
      </x:c>
      <x:c r="F147" s="49" t="str">
        <x:v>花晨</x:v>
      </x:c>
      <x:c r="G147" s="49" t="str">
        <x:v>花晨</x:v>
      </x:c>
      <x:c r="H147" s="37" t="n">
        <x:v>25.3</x:v>
      </x:c>
      <x:c r="I147" s="37" t="n">
        <x:v>23.7</x:v>
      </x:c>
      <x:c r="J147" s="40" t="n">
        <x:v>608</x:v>
      </x:c>
      <x:c r="K147" s="40" t="n">
        <x:v>728</x:v>
      </x:c>
      <x:c r="L147" s="40" t="n">
        <x:v>578</x:v>
      </x:c>
      <x:c r="M147" s="40" t="n">
        <x:v>436</x:v>
      </x:c>
      <x:c r="N147" s="40" t="n">
        <x:v>672</x:v>
      </x:c>
      <x:c r="O147" s="40" t="n">
        <x:v>584</x:v>
      </x:c>
      <x:c r="P147" s="40" t="n">
        <x:f>IF(COUNT(J147:O147)=0,"",SUM(J147:O147))</x:f>
        <x:v>3606</x:v>
      </x:c>
      <x:c r="Q147" s="40" t="n">
        <x:v>4448736660</x:v>
      </x:c>
      <x:c r="R147" s="40" t="n">
        <x:v>78279472</x:v>
      </x:c>
      <x:c r="S147" s="40" t="n">
        <x:v>284649852</x:v>
      </x:c>
      <x:c r="T147" s="40" t="n">
        <x:v>0</x:v>
      </x:c>
      <x:c r="U147" s="40" t="n">
        <x:v>37920</x:v>
      </x:c>
      <x:c r="V147" s="49" t="str">
        <x:v>宫阙3级</x:v>
      </x:c>
      <x:c r="W147" s="49" t="n">
        <x:v>1</x:v>
      </x:c>
      <x:c r="X147" s="52" t="n">
        <x:f>ROUND(100*(0.4*LN(1+Q147)/LN(1+MAX($Q$5:$Q$395))+0.35*R147/MAX($R$5:$R$395)+0.15*S147/MAX($S$5:$S$395)+IF(P147="",0,0.1*P147/MAX($P$5:$P$395)))/IF(P147="",0.9,1),1)</x:f>
        <x:v>72.2</x:v>
      </x:c>
      <x:c r="Y147" s="49" t="n">
        <x:f>RANK.EQ(X147,$X$5:$X$395,0)</x:f>
        <x:v>158</x:v>
      </x:c>
      <x:c r="Z147" s="34" t="str">
        <x:v>保持当前盟，减少迁移成本</x:v>
      </x:c>
      <x:c r="AA147" s="55"/>
    </x:row>
    <x:row r="148" ht="20" customHeight="1">
      <x:c r="A148" s="46" t="n">
        <x:v>42</x:v>
      </x:c>
      <x:c r="B148" s="27" t="str">
        <x:v>小七小时候</x:v>
      </x:c>
      <x:c r="C148" s="49" t="str">
        <x:v>花晨</x:v>
      </x:c>
      <x:c r="D148" s="49" t="str">
        <x:v>花晨</x:v>
      </x:c>
      <x:c r="E148" s="49" t="str">
        <x:v>留盟</x:v>
      </x:c>
      <x:c r="F148" s="49" t="str">
        <x:v>花晨</x:v>
      </x:c>
      <x:c r="G148" s="49" t="str">
        <x:v>花晨</x:v>
      </x:c>
      <x:c r="H148" s="37" t="n">
        <x:v>25.6</x:v>
      </x:c>
      <x:c r="I148" s="37" t="n">
        <x:v>23.7</x:v>
      </x:c>
      <x:c r="J148" s="40" t="n">
        <x:v>681</x:v>
      </x:c>
      <x:c r="K148" s="40" t="n">
        <x:v>780</x:v>
      </x:c>
      <x:c r="L148" s="40" t="n">
        <x:v>593</x:v>
      </x:c>
      <x:c r="M148" s="40" t="n">
        <x:v>507</x:v>
      </x:c>
      <x:c r="N148" s="40" t="n">
        <x:v>685</x:v>
      </x:c>
      <x:c r="O148" s="40" t="n">
        <x:v>710</x:v>
      </x:c>
      <x:c r="P148" s="40" t="n">
        <x:f>IF(COUNT(J148:O148)=0,"",SUM(J148:O148))</x:f>
        <x:v>3956</x:v>
      </x:c>
      <x:c r="Q148" s="40" t="n">
        <x:v>2829058862</x:v>
      </x:c>
      <x:c r="R148" s="40" t="n">
        <x:v>82912019</x:v>
      </x:c>
      <x:c r="S148" s="40" t="n">
        <x:v>249511701</x:v>
      </x:c>
      <x:c r="T148" s="40" t="n">
        <x:v>0</x:v>
      </x:c>
      <x:c r="U148" s="40" t="n">
        <x:v>171600</x:v>
      </x:c>
      <x:c r="V148" s="49" t="str">
        <x:v>宫阙3级</x:v>
      </x:c>
      <x:c r="W148" s="49" t="n">
        <x:v>1</x:v>
      </x:c>
      <x:c r="X148" s="52" t="n">
        <x:f>ROUND(100*(0.4*LN(1+Q148)/LN(1+MAX($Q$5:$Q$395))+0.35*R148/MAX($R$5:$R$395)+0.15*S148/MAX($S$5:$S$395)+IF(P148="",0,0.1*P148/MAX($P$5:$P$395)))/IF(P148="",0.9,1),1)</x:f>
        <x:v>72.1</x:v>
      </x:c>
      <x:c r="Y148" s="49" t="n">
        <x:f>RANK.EQ(X148,$X$5:$X$395,0)</x:f>
        <x:v>162</x:v>
      </x:c>
      <x:c r="Z148" s="34" t="str">
        <x:v>保持当前盟，减少迁移成本</x:v>
      </x:c>
      <x:c r="AA148" s="55" t="str">
        <x:v>名称对应：幸运小七</x:v>
      </x:c>
    </x:row>
    <x:row r="149" ht="20" customHeight="1">
      <x:c r="A149" s="46" t="n">
        <x:v>70</x:v>
      </x:c>
      <x:c r="B149" s="27" t="str">
        <x:v>星际玩偶</x:v>
      </x:c>
      <x:c r="C149" s="49" t="str">
        <x:v>花晨</x:v>
      </x:c>
      <x:c r="D149" s="49" t="str">
        <x:v>花晨</x:v>
      </x:c>
      <x:c r="E149" s="49" t="str">
        <x:v>留盟</x:v>
      </x:c>
      <x:c r="F149" s="49" t="str">
        <x:v>花晨</x:v>
      </x:c>
      <x:c r="G149" s="49" t="str">
        <x:v>兰亭</x:v>
      </x:c>
      <x:c r="H149" s="37" t="n">
        <x:v>26.7</x:v>
      </x:c>
      <x:c r="I149" s="37" t="n">
        <x:v>26.7</x:v>
      </x:c>
      <x:c r="J149" s="40" t="n">
        <x:v>700</x:v>
      </x:c>
      <x:c r="K149" s="40" t="n">
        <x:v>940</x:v>
      </x:c>
      <x:c r="L149" s="40" t="n">
        <x:v>600</x:v>
      </x:c>
      <x:c r="M149" s="40" t="n">
        <x:v>460</x:v>
      </x:c>
      <x:c r="N149" s="40" t="n">
        <x:v>690</x:v>
      </x:c>
      <x:c r="O149" s="40" t="n">
        <x:v>700</x:v>
      </x:c>
      <x:c r="P149" s="40" t="n">
        <x:f>IF(COUNT(J149:O149)=0,"",SUM(J149:O149))</x:f>
        <x:v>4090</x:v>
      </x:c>
      <x:c r="Q149" s="40" t="n">
        <x:v>1628560696</x:v>
      </x:c>
      <x:c r="R149" s="40" t="n">
        <x:v>85462040</x:v>
      </x:c>
      <x:c r="S149" s="40" t="n">
        <x:v>248743469</x:v>
      </x:c>
      <x:c r="T149" s="40" t="n">
        <x:v>0</x:v>
      </x:c>
      <x:c r="U149" s="40" t="n">
        <x:v>88080</x:v>
      </x:c>
      <x:c r="V149" s="49" t="str">
        <x:v>宫阙3级</x:v>
      </x:c>
      <x:c r="W149" s="49" t="n">
        <x:v>1</x:v>
      </x:c>
      <x:c r="X149" s="52" t="n">
        <x:f>ROUND(100*(0.4*LN(1+Q149)/LN(1+MAX($Q$5:$Q$395))+0.35*R149/MAX($R$5:$R$395)+0.15*S149/MAX($S$5:$S$395)+IF(P149="",0,0.1*P149/MAX($P$5:$P$395)))/IF(P149="",0.9,1),1)</x:f>
        <x:v>72</x:v>
      </x:c>
      <x:c r="Y149" s="49" t="n">
        <x:f>RANK.EQ(X149,$X$5:$X$395,0)</x:f>
        <x:v>164</x:v>
      </x:c>
      <x:c r="Z149" s="34" t="str">
        <x:v>保持当前盟，减少迁移成本</x:v>
      </x:c>
      <x:c r="AA149" s="55"/>
    </x:row>
    <x:row r="150" ht="20" customHeight="1">
      <x:c r="A150" s="46" t="n">
        <x:v>20</x:v>
      </x:c>
      <x:c r="B150" s="27" t="str">
        <x:v>用毒蛇的毒毒毒蛇</x:v>
      </x:c>
      <x:c r="C150" s="49" t="str">
        <x:v>花晨</x:v>
      </x:c>
      <x:c r="D150" s="49" t="str">
        <x:v>花晨</x:v>
      </x:c>
      <x:c r="E150" s="49" t="str">
        <x:v>留盟</x:v>
      </x:c>
      <x:c r="F150" s="49" t="str">
        <x:v>花晨</x:v>
      </x:c>
      <x:c r="G150" s="49" t="str">
        <x:v>花晨</x:v>
      </x:c>
      <x:c r="H150" s="37" t="n">
        <x:v>23.8</x:v>
      </x:c>
      <x:c r="I150" s="37" t="n">
        <x:v>22.4</x:v>
      </x:c>
      <x:c r="J150" s="40" t="n">
        <x:v>656</x:v>
      </x:c>
      <x:c r="K150" s="40" t="n">
        <x:v>956</x:v>
      </x:c>
      <x:c r="L150" s="40" t="n">
        <x:v>524</x:v>
      </x:c>
      <x:c r="M150" s="40" t="n">
        <x:v>483</x:v>
      </x:c>
      <x:c r="N150" s="40" t="n">
        <x:v>600</x:v>
      </x:c>
      <x:c r="O150" s="40" t="n">
        <x:v>612</x:v>
      </x:c>
      <x:c r="P150" s="40" t="n">
        <x:f>IF(COUNT(J150:O150)=0,"",SUM(J150:O150))</x:f>
        <x:v>3831</x:v>
      </x:c>
      <x:c r="Q150" s="40" t="n">
        <x:v>5581284560</x:v>
      </x:c>
      <x:c r="R150" s="40" t="n">
        <x:v>80335521</x:v>
      </x:c>
      <x:c r="S150" s="40" t="n">
        <x:v>231898505</x:v>
      </x:c>
      <x:c r="T150" s="40" t="n">
        <x:v>0</x:v>
      </x:c>
      <x:c r="U150" s="40" t="n">
        <x:v>143800</x:v>
      </x:c>
      <x:c r="V150" s="49" t="str">
        <x:v>宫阙3级</x:v>
      </x:c>
      <x:c r="W150" s="49" t="n">
        <x:v>1</x:v>
      </x:c>
      <x:c r="X150" s="52" t="n">
        <x:f>ROUND(100*(0.4*LN(1+Q150)/LN(1+MAX($Q$5:$Q$395))+0.35*R150/MAX($R$5:$R$395)+0.15*S150/MAX($S$5:$S$395)+IF(P150="",0,0.1*P150/MAX($P$5:$P$395)))/IF(P150="",0.9,1),1)</x:f>
        <x:v>71.9</x:v>
      </x:c>
      <x:c r="Y150" s="49" t="n">
        <x:f>RANK.EQ(X150,$X$5:$X$395,0)</x:f>
        <x:v>168</x:v>
      </x:c>
      <x:c r="Z150" s="34" t="str">
        <x:v>保持当前盟，减少迁移成本</x:v>
      </x:c>
      <x:c r="AA150" s="55"/>
    </x:row>
    <x:row r="151" ht="20" customHeight="1">
      <x:c r="A151" s="46" t="n">
        <x:v>29</x:v>
      </x:c>
      <x:c r="B151" s="27" t="str">
        <x:v>十二楼</x:v>
      </x:c>
      <x:c r="C151" s="49" t="str">
        <x:v>花晨</x:v>
      </x:c>
      <x:c r="D151" s="49" t="str">
        <x:v>花晨</x:v>
      </x:c>
      <x:c r="E151" s="49" t="str">
        <x:v>留盟</x:v>
      </x:c>
      <x:c r="F151" s="49" t="str">
        <x:v>燕云</x:v>
      </x:c>
      <x:c r="G151" s="49" t="str">
        <x:v>兰亭</x:v>
      </x:c>
      <x:c r="H151" s="37" t="n">
        <x:v>28.4</x:v>
      </x:c>
      <x:c r="I151" s="37" t="n">
        <x:v>26.2</x:v>
      </x:c>
      <x:c r="J151" s="40" t="n">
        <x:v>798</x:v>
      </x:c>
      <x:c r="K151" s="40" t="n">
        <x:v>840</x:v>
      </x:c>
      <x:c r="L151" s="40" t="n">
        <x:v>582</x:v>
      </x:c>
      <x:c r="M151" s="40" t="n">
        <x:v>562</x:v>
      </x:c>
      <x:c r="N151" s="40" t="n">
        <x:v>749</x:v>
      </x:c>
      <x:c r="O151" s="40" t="n">
        <x:v>787</x:v>
      </x:c>
      <x:c r="P151" s="40" t="n">
        <x:f>IF(COUNT(J151:O151)=0,"",SUM(J151:O151))</x:f>
        <x:v>4318</x:v>
      </x:c>
      <x:c r="Q151" s="40" t="n">
        <x:v>4139948126</x:v>
      </x:c>
      <x:c r="R151" s="40" t="n">
        <x:v>78426029</x:v>
      </x:c>
      <x:c r="S151" s="40" t="n">
        <x:v>232478997</x:v>
      </x:c>
      <x:c r="T151" s="40" t="n">
        <x:v>0</x:v>
      </x:c>
      <x:c r="U151" s="40" t="n">
        <x:v>58720</x:v>
      </x:c>
      <x:c r="V151" s="49" t="str">
        <x:v>宫阙3级</x:v>
      </x:c>
      <x:c r="W151" s="49" t="n">
        <x:v>2</x:v>
      </x:c>
      <x:c r="X151" s="52" t="n">
        <x:f>ROUND(100*(0.4*LN(1+Q151)/LN(1+MAX($Q$5:$Q$395))+0.35*R151/MAX($R$5:$R$395)+0.15*S151/MAX($S$5:$S$395)+IF(P151="",0,0.1*P151/MAX($P$5:$P$395)))/IF(P151="",0.9,1),1)</x:f>
        <x:v>71.7</x:v>
      </x:c>
      <x:c r="Y151" s="49" t="n">
        <x:f>RANK.EQ(X151,$X$5:$X$395,0)</x:f>
        <x:v>172</x:v>
      </x:c>
      <x:c r="Z151" s="34" t="str">
        <x:v>保持当前盟，减少迁移成本</x:v>
      </x:c>
      <x:c r="AA151" s="55"/>
    </x:row>
    <x:row r="152" ht="20" customHeight="1">
      <x:c r="A152" s="46" t="n">
        <x:v>27</x:v>
      </x:c>
      <x:c r="B152" s="27" t="str">
        <x:v>完不利罗</x:v>
      </x:c>
      <x:c r="C152" s="49" t="str">
        <x:v>花晨</x:v>
      </x:c>
      <x:c r="D152" s="49" t="str">
        <x:v>花晨</x:v>
      </x:c>
      <x:c r="E152" s="49" t="str">
        <x:v>留盟</x:v>
      </x:c>
      <x:c r="F152" s="49" t="str">
        <x:v>燕云</x:v>
      </x:c>
      <x:c r="G152" s="49"/>
      <x:c r="H152" s="37"/>
      <x:c r="I152" s="37"/>
      <x:c r="J152" s="40"/>
      <x:c r="K152" s="40"/>
      <x:c r="L152" s="40"/>
      <x:c r="M152" s="40"/>
      <x:c r="N152" s="40"/>
      <x:c r="O152" s="40"/>
      <x:c r="P152" s="40" t="str">
        <x:f>IF(COUNT(J152:O152)=0,"",SUM(J152:O152))</x:f>
      </x:c>
      <x:c r="Q152" s="40" t="n">
        <x:v>4259163524</x:v>
      </x:c>
      <x:c r="R152" s="40" t="n">
        <x:v>79767720</x:v>
      </x:c>
      <x:c r="S152" s="40" t="n">
        <x:v>199020385</x:v>
      </x:c>
      <x:c r="T152" s="40" t="n">
        <x:v>0</x:v>
      </x:c>
      <x:c r="U152" s="40" t="n">
        <x:v>93960</x:v>
      </x:c>
      <x:c r="V152" s="49" t="str">
        <x:v>宫阙3级</x:v>
      </x:c>
      <x:c r="W152" s="49" t="n">
        <x:v>2</x:v>
      </x:c>
      <x:c r="X152" s="52" t="n">
        <x:f>ROUND(100*(0.4*LN(1+Q152)/LN(1+MAX($Q$5:$Q$395))+0.35*R152/MAX($R$5:$R$395)+0.15*S152/MAX($S$5:$S$395)+IF(P152="",0,0.1*P152/MAX($P$5:$P$395)))/IF(P152="",0.9,1),1)</x:f>
        <x:v>71.5</x:v>
      </x:c>
      <x:c r="Y152" s="49" t="n">
        <x:f>RANK.EQ(X152,$X$5:$X$395,0)</x:f>
        <x:v>177</x:v>
      </x:c>
      <x:c r="Z152" s="34" t="str">
        <x:v>保持当前盟，减少迁移成本</x:v>
      </x:c>
      <x:c r="AA152" s="55" t="str">
        <x:v>六维未匹配</x:v>
      </x:c>
    </x:row>
    <x:row r="153" ht="20" customHeight="1">
      <x:c r="A153" s="46" t="n">
        <x:v>44</x:v>
      </x:c>
      <x:c r="B153" s="27" t="str">
        <x:v>九号公馆</x:v>
      </x:c>
      <x:c r="C153" s="49" t="str">
        <x:v>花晨</x:v>
      </x:c>
      <x:c r="D153" s="49" t="str">
        <x:v>花晨</x:v>
      </x:c>
      <x:c r="E153" s="49" t="str">
        <x:v>留盟</x:v>
      </x:c>
      <x:c r="F153" s="49" t="str">
        <x:v>花晨</x:v>
      </x:c>
      <x:c r="G153" s="49" t="str">
        <x:v>兰亭</x:v>
      </x:c>
      <x:c r="H153" s="37" t="n">
        <x:v>28.8</x:v>
      </x:c>
      <x:c r="I153" s="37" t="n">
        <x:v>28.8</x:v>
      </x:c>
      <x:c r="J153" s="40" t="n">
        <x:v>758</x:v>
      </x:c>
      <x:c r="K153" s="40" t="n">
        <x:v>892</x:v>
      </x:c>
      <x:c r="L153" s="40" t="n">
        <x:v>670</x:v>
      </x:c>
      <x:c r="M153" s="40" t="n">
        <x:v>543</x:v>
      </x:c>
      <x:c r="N153" s="40" t="n">
        <x:v>776</x:v>
      </x:c>
      <x:c r="O153" s="40" t="n">
        <x:v>827</x:v>
      </x:c>
      <x:c r="P153" s="40" t="n">
        <x:f>IF(COUNT(J153:O153)=0,"",SUM(J153:O153))</x:f>
        <x:v>4466</x:v>
      </x:c>
      <x:c r="Q153" s="40" t="n">
        <x:v>2711495711</x:v>
      </x:c>
      <x:c r="R153" s="40" t="n">
        <x:v>80362205</x:v>
      </x:c>
      <x:c r="S153" s="40" t="n">
        <x:v>223337425</x:v>
      </x:c>
      <x:c r="T153" s="40" t="n">
        <x:v>0</x:v>
      </x:c>
      <x:c r="U153" s="40" t="n">
        <x:v>103320</x:v>
      </x:c>
      <x:c r="V153" s="49" t="str">
        <x:v>宫阙3级</x:v>
      </x:c>
      <x:c r="W153" s="49" t="n">
        <x:v>3</x:v>
      </x:c>
      <x:c r="X153" s="52" t="n">
        <x:f>ROUND(100*(0.4*LN(1+Q153)/LN(1+MAX($Q$5:$Q$395))+0.35*R153/MAX($R$5:$R$395)+0.15*S153/MAX($S$5:$S$395)+IF(P153="",0,0.1*P153/MAX($P$5:$P$395)))/IF(P153="",0.9,1),1)</x:f>
        <x:v>71.4</x:v>
      </x:c>
      <x:c r="Y153" s="49" t="n">
        <x:f>RANK.EQ(X153,$X$5:$X$395,0)</x:f>
        <x:v>179</x:v>
      </x:c>
      <x:c r="Z153" s="34" t="str">
        <x:v>保持当前盟，减少迁移成本</x:v>
      </x:c>
      <x:c r="AA153" s="55"/>
    </x:row>
    <x:row r="154" ht="20" customHeight="1">
      <x:c r="A154" s="46" t="n">
        <x:v>37</x:v>
      </x:c>
      <x:c r="B154" s="27" t="str">
        <x:v>灬人间散尽温柔灬</x:v>
      </x:c>
      <x:c r="C154" s="49" t="str">
        <x:v>花晨</x:v>
      </x:c>
      <x:c r="D154" s="49" t="str">
        <x:v>花晨</x:v>
      </x:c>
      <x:c r="E154" s="49" t="str">
        <x:v>留盟</x:v>
      </x:c>
      <x:c r="F154" s="49" t="str"/>
      <x:c r="G154" s="49"/>
      <x:c r="H154" s="37"/>
      <x:c r="I154" s="37"/>
      <x:c r="J154" s="40"/>
      <x:c r="K154" s="40"/>
      <x:c r="L154" s="40"/>
      <x:c r="M154" s="40"/>
      <x:c r="N154" s="40"/>
      <x:c r="O154" s="40"/>
      <x:c r="P154" s="40" t="str">
        <x:f>IF(COUNT(J154:O154)=0,"",SUM(J154:O154))</x:f>
      </x:c>
      <x:c r="Q154" s="40" t="n">
        <x:v>3134467598</x:v>
      </x:c>
      <x:c r="R154" s="40" t="n">
        <x:v>72581530</x:v>
      </x:c>
      <x:c r="S154" s="40" t="n">
        <x:v>276515424</x:v>
      </x:c>
      <x:c r="T154" s="40" t="n">
        <x:v>0</x:v>
      </x:c>
      <x:c r="U154" s="40" t="n">
        <x:v>141840</x:v>
      </x:c>
      <x:c r="V154" s="49" t="str">
        <x:v>宫阙3级</x:v>
      </x:c>
      <x:c r="W154" s="49" t="n">
        <x:v>4</x:v>
      </x:c>
      <x:c r="X154" s="52" t="n">
        <x:f>ROUND(100*(0.4*LN(1+Q154)/LN(1+MAX($Q$5:$Q$395))+0.35*R154/MAX($R$5:$R$395)+0.15*S154/MAX($S$5:$S$395)+IF(P154="",0,0.1*P154/MAX($P$5:$P$395)))/IF(P154="",0.9,1),1)</x:f>
        <x:v>71.4</x:v>
      </x:c>
      <x:c r="Y154" s="49" t="n">
        <x:f>RANK.EQ(X154,$X$5:$X$395,0)</x:f>
        <x:v>179</x:v>
      </x:c>
      <x:c r="Z154" s="34" t="str">
        <x:v>保持当前盟，减少迁移成本</x:v>
      </x:c>
      <x:c r="AA154" s="55" t="str">
        <x:v>六维未匹配</x:v>
      </x:c>
    </x:row>
    <x:row r="155" ht="20" customHeight="1">
      <x:c r="A155" s="46" t="n">
        <x:v>86</x:v>
      </x:c>
      <x:c r="B155" s="27" t="str">
        <x:v>穆兰大腿</x:v>
      </x:c>
      <x:c r="C155" s="49" t="str">
        <x:v>花晨</x:v>
      </x:c>
      <x:c r="D155" s="49" t="str">
        <x:v>花晨</x:v>
      </x:c>
      <x:c r="E155" s="49" t="str">
        <x:v>留盟</x:v>
      </x:c>
      <x:c r="F155" s="49" t="str">
        <x:v>花晨</x:v>
      </x:c>
      <x:c r="G155" s="49" t="str">
        <x:v>花晨</x:v>
      </x:c>
      <x:c r="H155" s="37" t="n">
        <x:v>25.4</x:v>
      </x:c>
      <x:c r="I155" s="37" t="n">
        <x:v>25.4</x:v>
      </x:c>
      <x:c r="J155" s="40" t="n">
        <x:v>622</x:v>
      </x:c>
      <x:c r="K155" s="40" t="n">
        <x:v>786</x:v>
      </x:c>
      <x:c r="L155" s="40" t="n">
        <x:v>590</x:v>
      </x:c>
      <x:c r="M155" s="40" t="n">
        <x:v>475</x:v>
      </x:c>
      <x:c r="N155" s="40" t="n">
        <x:v>701</x:v>
      </x:c>
      <x:c r="O155" s="40" t="n">
        <x:v>762</x:v>
      </x:c>
      <x:c r="P155" s="40" t="n">
        <x:f>IF(COUNT(J155:O155)=0,"",SUM(J155:O155))</x:f>
        <x:v>3936</x:v>
      </x:c>
      <x:c r="Q155" s="40" t="n">
        <x:v>352520520</x:v>
      </x:c>
      <x:c r="R155" s="40" t="n">
        <x:v>90504133</x:v>
      </x:c>
      <x:c r="S155" s="40" t="n">
        <x:v>276141233</x:v>
      </x:c>
      <x:c r="T155" s="40" t="n">
        <x:v>0</x:v>
      </x:c>
      <x:c r="U155" s="40" t="n">
        <x:v>71520</x:v>
      </x:c>
      <x:c r="V155" s="49" t="str">
        <x:v>宫阙3级</x:v>
      </x:c>
      <x:c r="W155" s="49" t="n">
        <x:v>1</x:v>
      </x:c>
      <x:c r="X155" s="52" t="n">
        <x:f>ROUND(100*(0.4*LN(1+Q155)/LN(1+MAX($Q$5:$Q$395))+0.35*R155/MAX($R$5:$R$395)+0.15*S155/MAX($S$5:$S$395)+IF(P155="",0,0.1*P155/MAX($P$5:$P$395)))/IF(P155="",0.9,1),1)</x:f>
        <x:v>71.3</x:v>
      </x:c>
      <x:c r="Y155" s="49" t="n">
        <x:f>RANK.EQ(X155,$X$5:$X$395,0)</x:f>
        <x:v>181</x:v>
      </x:c>
      <x:c r="Z155" s="34" t="str">
        <x:v>保持当前盟，减少迁移成本</x:v>
      </x:c>
      <x:c r="AA155" s="55"/>
    </x:row>
    <x:row r="156" ht="20" customHeight="1">
      <x:c r="A156" s="46" t="n">
        <x:v>18</x:v>
      </x:c>
      <x:c r="B156" s="27" t="str">
        <x:v>雄霸天下123</x:v>
      </x:c>
      <x:c r="C156" s="49" t="str">
        <x:v>花晨</x:v>
      </x:c>
      <x:c r="D156" s="49" t="str">
        <x:v>花晨</x:v>
      </x:c>
      <x:c r="E156" s="49" t="str">
        <x:v>留盟</x:v>
      </x:c>
      <x:c r="F156" s="49" t="str">
        <x:v>花晨</x:v>
      </x:c>
      <x:c r="G156" s="49" t="str">
        <x:v>花晨</x:v>
      </x:c>
      <x:c r="H156" s="37" t="n">
        <x:v>21.6</x:v>
      </x:c>
      <x:c r="I156" s="37" t="n">
        <x:v>21.6</x:v>
      </x:c>
      <x:c r="J156" s="40" t="n">
        <x:v>656</x:v>
      </x:c>
      <x:c r="K156" s="40" t="n">
        <x:v>744</x:v>
      </x:c>
      <x:c r="L156" s="40" t="n">
        <x:v>536</x:v>
      </x:c>
      <x:c r="M156" s="40" t="n">
        <x:v>412</x:v>
      </x:c>
      <x:c r="N156" s="40" t="n">
        <x:v>663</x:v>
      </x:c>
      <x:c r="O156" s="40" t="n">
        <x:v>591</x:v>
      </x:c>
      <x:c r="P156" s="40" t="n">
        <x:f>IF(COUNT(J156:O156)=0,"",SUM(J156:O156))</x:f>
        <x:v>3602</x:v>
      </x:c>
      <x:c r="Q156" s="40" t="n">
        <x:v>5631519006</x:v>
      </x:c>
      <x:c r="R156" s="40" t="n">
        <x:v>78783218</x:v>
      </x:c>
      <x:c r="S156" s="40" t="n">
        <x:v>235290025</x:v>
      </x:c>
      <x:c r="T156" s="40" t="n">
        <x:v>0</x:v>
      </x:c>
      <x:c r="U156" s="40" t="n">
        <x:v>96000</x:v>
      </x:c>
      <x:c r="V156" s="49" t="str">
        <x:v>宫阙3级</x:v>
      </x:c>
      <x:c r="W156" s="49" t="n">
        <x:v>4</x:v>
      </x:c>
      <x:c r="X156" s="52" t="n">
        <x:f>ROUND(100*(0.4*LN(1+Q156)/LN(1+MAX($Q$5:$Q$395))+0.35*R156/MAX($R$5:$R$395)+0.15*S156/MAX($S$5:$S$395)+IF(P156="",0,0.1*P156/MAX($P$5:$P$395)))/IF(P156="",0.9,1),1)</x:f>
        <x:v>71.3</x:v>
      </x:c>
      <x:c r="Y156" s="49" t="n">
        <x:f>RANK.EQ(X156,$X$5:$X$395,0)</x:f>
        <x:v>181</x:v>
      </x:c>
      <x:c r="Z156" s="34" t="str">
        <x:v>保持当前盟，减少迁移成本</x:v>
      </x:c>
      <x:c r="AA156" s="55"/>
    </x:row>
    <x:row r="157" ht="20" customHeight="1">
      <x:c r="A157" s="46" t="n">
        <x:v>71</x:v>
      </x:c>
      <x:c r="B157" s="27" t="str">
        <x:v>月下煮奶茶</x:v>
      </x:c>
      <x:c r="C157" s="49" t="str">
        <x:v>花晨</x:v>
      </x:c>
      <x:c r="D157" s="49" t="str">
        <x:v>花晨</x:v>
      </x:c>
      <x:c r="E157" s="49" t="str">
        <x:v>留盟</x:v>
      </x:c>
      <x:c r="F157" s="49" t="str">
        <x:v>花晨</x:v>
      </x:c>
      <x:c r="G157" s="49"/>
      <x:c r="H157" s="37"/>
      <x:c r="I157" s="37"/>
      <x:c r="J157" s="40"/>
      <x:c r="K157" s="40"/>
      <x:c r="L157" s="40"/>
      <x:c r="M157" s="40"/>
      <x:c r="N157" s="40"/>
      <x:c r="O157" s="40"/>
      <x:c r="P157" s="40" t="str">
        <x:f>IF(COUNT(J157:O157)=0,"",SUM(J157:O157))</x:f>
      </x:c>
      <x:c r="Q157" s="40" t="n">
        <x:v>1613963484</x:v>
      </x:c>
      <x:c r="R157" s="40" t="n">
        <x:v>78338657</x:v>
      </x:c>
      <x:c r="S157" s="40" t="n">
        <x:v>258882287</x:v>
      </x:c>
      <x:c r="T157" s="40" t="n">
        <x:v>0</x:v>
      </x:c>
      <x:c r="U157" s="40" t="n">
        <x:v>124640</x:v>
      </x:c>
      <x:c r="V157" s="49" t="str">
        <x:v>宫阙3级</x:v>
      </x:c>
      <x:c r="W157" s="49" t="n">
        <x:v>1</x:v>
      </x:c>
      <x:c r="X157" s="52" t="n">
        <x:f>ROUND(100*(0.4*LN(1+Q157)/LN(1+MAX($Q$5:$Q$395))+0.35*R157/MAX($R$5:$R$395)+0.15*S157/MAX($S$5:$S$395)+IF(P157="",0,0.1*P157/MAX($P$5:$P$395)))/IF(P157="",0.9,1),1)</x:f>
        <x:v>71.2</x:v>
      </x:c>
      <x:c r="Y157" s="49" t="n">
        <x:f>RANK.EQ(X157,$X$5:$X$395,0)</x:f>
        <x:v>184</x:v>
      </x:c>
      <x:c r="Z157" s="34" t="str">
        <x:v>保持当前盟，减少迁移成本</x:v>
      </x:c>
      <x:c r="AA157" s="55" t="str">
        <x:v>六维未匹配</x:v>
      </x:c>
    </x:row>
    <x:row r="158" ht="20" customHeight="1">
      <x:c r="A158" s="46" t="n">
        <x:v>38</x:v>
      </x:c>
      <x:c r="B158" s="27" t="str">
        <x:v>长发渡温柔</x:v>
      </x:c>
      <x:c r="C158" s="49" t="str">
        <x:v>花晨</x:v>
      </x:c>
      <x:c r="D158" s="49" t="str">
        <x:v>花晨</x:v>
      </x:c>
      <x:c r="E158" s="49" t="str">
        <x:v>留盟</x:v>
      </x:c>
      <x:c r="F158" s="49" t="str">
        <x:v>花晨</x:v>
      </x:c>
      <x:c r="G158" s="49"/>
      <x:c r="H158" s="37"/>
      <x:c r="I158" s="37"/>
      <x:c r="J158" s="40"/>
      <x:c r="K158" s="40"/>
      <x:c r="L158" s="40"/>
      <x:c r="M158" s="40"/>
      <x:c r="N158" s="40"/>
      <x:c r="O158" s="40"/>
      <x:c r="P158" s="40" t="str">
        <x:f>IF(COUNT(J158:O158)=0,"",SUM(J158:O158))</x:f>
      </x:c>
      <x:c r="Q158" s="40" t="n">
        <x:v>3086787766</x:v>
      </x:c>
      <x:c r="R158" s="40" t="n">
        <x:v>74913041</x:v>
      </x:c>
      <x:c r="S158" s="40" t="n">
        <x:v>250727577</x:v>
      </x:c>
      <x:c r="T158" s="40" t="n">
        <x:v>0</x:v>
      </x:c>
      <x:c r="U158" s="40" t="n">
        <x:v>145440</x:v>
      </x:c>
      <x:c r="V158" s="49" t="str">
        <x:v>宫阙3级</x:v>
      </x:c>
      <x:c r="W158" s="49" t="n">
        <x:v>3</x:v>
      </x:c>
      <x:c r="X158" s="52" t="n">
        <x:f>ROUND(100*(0.4*LN(1+Q158)/LN(1+MAX($Q$5:$Q$395))+0.35*R158/MAX($R$5:$R$395)+0.15*S158/MAX($S$5:$S$395)+IF(P158="",0,0.1*P158/MAX($P$5:$P$395)))/IF(P158="",0.9,1),1)</x:f>
        <x:v>71.2</x:v>
      </x:c>
      <x:c r="Y158" s="49" t="n">
        <x:f>RANK.EQ(X158,$X$5:$X$395,0)</x:f>
        <x:v>184</x:v>
      </x:c>
      <x:c r="Z158" s="34" t="str">
        <x:v>保持当前盟，减少迁移成本</x:v>
      </x:c>
      <x:c r="AA158" s="55" t="str">
        <x:v>六维未匹配</x:v>
      </x:c>
    </x:row>
    <x:row r="159" ht="20" customHeight="1">
      <x:c r="A159" s="46" t="n">
        <x:v>67</x:v>
      </x:c>
      <x:c r="B159" s="27" t="str">
        <x:v>小鸡炖小弟</x:v>
      </x:c>
      <x:c r="C159" s="49" t="str">
        <x:v>花晨</x:v>
      </x:c>
      <x:c r="D159" s="49" t="str">
        <x:v>花晨</x:v>
      </x:c>
      <x:c r="E159" s="49" t="str">
        <x:v>留盟</x:v>
      </x:c>
      <x:c r="F159" s="49" t="str">
        <x:v>花晨</x:v>
      </x:c>
      <x:c r="G159" s="49"/>
      <x:c r="H159" s="37"/>
      <x:c r="I159" s="37"/>
      <x:c r="J159" s="40"/>
      <x:c r="K159" s="40"/>
      <x:c r="L159" s="40"/>
      <x:c r="M159" s="40"/>
      <x:c r="N159" s="40"/>
      <x:c r="O159" s="40"/>
      <x:c r="P159" s="40" t="str">
        <x:f>IF(COUNT(J159:O159)=0,"",SUM(J159:O159))</x:f>
      </x:c>
      <x:c r="Q159" s="40" t="n">
        <x:v>1758451762</x:v>
      </x:c>
      <x:c r="R159" s="40" t="n">
        <x:v>75544085</x:v>
      </x:c>
      <x:c r="S159" s="40" t="n">
        <x:v>270570404</x:v>
      </x:c>
      <x:c r="T159" s="40" t="n">
        <x:v>0</x:v>
      </x:c>
      <x:c r="U159" s="40" t="n">
        <x:v>65600</x:v>
      </x:c>
      <x:c r="V159" s="49" t="str">
        <x:v>宫阙3级</x:v>
      </x:c>
      <x:c r="W159" s="49" t="n">
        <x:v>1</x:v>
      </x:c>
      <x:c r="X159" s="52" t="n">
        <x:f>ROUND(100*(0.4*LN(1+Q159)/LN(1+MAX($Q$5:$Q$395))+0.35*R159/MAX($R$5:$R$395)+0.15*S159/MAX($S$5:$S$395)+IF(P159="",0,0.1*P159/MAX($P$5:$P$395)))/IF(P159="",0.9,1),1)</x:f>
        <x:v>71</x:v>
      </x:c>
      <x:c r="Y159" s="49" t="n">
        <x:f>RANK.EQ(X159,$X$5:$X$395,0)</x:f>
        <x:v>188</x:v>
      </x:c>
      <x:c r="Z159" s="34" t="str">
        <x:v>保持当前盟，减少迁移成本</x:v>
      </x:c>
      <x:c r="AA159" s="55" t="str">
        <x:v>六维未匹配</x:v>
      </x:c>
    </x:row>
    <x:row r="160" ht="20" customHeight="1">
      <x:c r="A160" s="46" t="n">
        <x:v>34</x:v>
      </x:c>
      <x:c r="B160" s="27" t="str">
        <x:v>悦悦的小屋</x:v>
      </x:c>
      <x:c r="C160" s="49" t="str">
        <x:v>花晨</x:v>
      </x:c>
      <x:c r="D160" s="49" t="str">
        <x:v>花晨</x:v>
      </x:c>
      <x:c r="E160" s="49" t="str">
        <x:v>留盟</x:v>
      </x:c>
      <x:c r="F160" s="49" t="str"/>
      <x:c r="G160" s="49"/>
      <x:c r="H160" s="37"/>
      <x:c r="I160" s="37"/>
      <x:c r="J160" s="40"/>
      <x:c r="K160" s="40"/>
      <x:c r="L160" s="40"/>
      <x:c r="M160" s="40"/>
      <x:c r="N160" s="40"/>
      <x:c r="O160" s="40"/>
      <x:c r="P160" s="40" t="str">
        <x:f>IF(COUNT(J160:O160)=0,"",SUM(J160:O160))</x:f>
      </x:c>
      <x:c r="Q160" s="40" t="n">
        <x:v>3233484160</x:v>
      </x:c>
      <x:c r="R160" s="40" t="n">
        <x:v>72742997</x:v>
      </x:c>
      <x:c r="S160" s="40" t="n">
        <x:v>257882850</x:v>
      </x:c>
      <x:c r="T160" s="40" t="n">
        <x:v>0</x:v>
      </x:c>
      <x:c r="U160" s="40" t="n">
        <x:v>146160</x:v>
      </x:c>
      <x:c r="V160" s="49" t="str">
        <x:v>宫阙3级</x:v>
      </x:c>
      <x:c r="W160" s="49" t="n">
        <x:v>3</x:v>
      </x:c>
      <x:c r="X160" s="52" t="n">
        <x:f>ROUND(100*(0.4*LN(1+Q160)/LN(1+MAX($Q$5:$Q$395))+0.35*R160/MAX($R$5:$R$395)+0.15*S160/MAX($S$5:$S$395)+IF(P160="",0,0.1*P160/MAX($P$5:$P$395)))/IF(P160="",0.9,1),1)</x:f>
        <x:v>70.9</x:v>
      </x:c>
      <x:c r="Y160" s="49" t="n">
        <x:f>RANK.EQ(X160,$X$5:$X$395,0)</x:f>
        <x:v>190</x:v>
      </x:c>
      <x:c r="Z160" s="34" t="str">
        <x:v>保持当前盟，减少迁移成本</x:v>
      </x:c>
      <x:c r="AA160" s="55" t="str">
        <x:v>六维未匹配</x:v>
      </x:c>
    </x:row>
    <x:row r="161" ht="20" customHeight="1">
      <x:c r="A161" s="46" t="n">
        <x:v>54</x:v>
      </x:c>
      <x:c r="B161" s="27" t="str">
        <x:v>糊涂小哥哥</x:v>
      </x:c>
      <x:c r="C161" s="49" t="str">
        <x:v>花晨</x:v>
      </x:c>
      <x:c r="D161" s="49" t="str">
        <x:v>花晨</x:v>
      </x:c>
      <x:c r="E161" s="49" t="str">
        <x:v>留盟</x:v>
      </x:c>
      <x:c r="F161" s="49" t="str">
        <x:v>玲珑</x:v>
      </x:c>
      <x:c r="G161" s="49"/>
      <x:c r="H161" s="37" t="n">
        <x:v>28.8</x:v>
      </x:c>
      <x:c r="I161" s="37" t="n">
        <x:v>28.8</x:v>
      </x:c>
      <x:c r="J161" s="40" t="n">
        <x:v>755</x:v>
      </x:c>
      <x:c r="K161" s="40" t="n">
        <x:v>887</x:v>
      </x:c>
      <x:c r="L161" s="40" t="n">
        <x:v>635</x:v>
      </x:c>
      <x:c r="M161" s="40" t="n">
        <x:v>505</x:v>
      </x:c>
      <x:c r="N161" s="40" t="n">
        <x:v>709</x:v>
      </x:c>
      <x:c r="O161" s="40" t="n">
        <x:v>767</x:v>
      </x:c>
      <x:c r="P161" s="40" t="n">
        <x:f>IF(COUNT(J161:O161)=0,"",SUM(J161:O161))</x:f>
        <x:v>4258</x:v>
      </x:c>
      <x:c r="Q161" s="40" t="n">
        <x:v>2296640160</x:v>
      </x:c>
      <x:c r="R161" s="40" t="n">
        <x:v>84119401</x:v>
      </x:c>
      <x:c r="S161" s="40" t="n">
        <x:v>185965021</x:v>
      </x:c>
      <x:c r="T161" s="40" t="n">
        <x:v>0</x:v>
      </x:c>
      <x:c r="U161" s="40" t="n">
        <x:v>54000</x:v>
      </x:c>
      <x:c r="V161" s="49" t="str">
        <x:v>宫阙3级</x:v>
      </x:c>
      <x:c r="W161" s="49" t="n">
        <x:v>2</x:v>
      </x:c>
      <x:c r="X161" s="52" t="n">
        <x:f>ROUND(100*(0.4*LN(1+Q161)/LN(1+MAX($Q$5:$Q$395))+0.35*R161/MAX($R$5:$R$395)+0.15*S161/MAX($S$5:$S$395)+IF(P161="",0,0.1*P161/MAX($P$5:$P$395)))/IF(P161="",0.9,1),1)</x:f>
        <x:v>70.7</x:v>
      </x:c>
      <x:c r="Y161" s="49" t="n">
        <x:f>RANK.EQ(X161,$X$5:$X$395,0)</x:f>
        <x:v>195</x:v>
      </x:c>
      <x:c r="Z161" s="34" t="str">
        <x:v>保持当前盟，减少迁移成本</x:v>
      </x:c>
      <x:c r="AA161" s="55"/>
    </x:row>
    <x:row r="162" ht="20" customHeight="1">
      <x:c r="A162" s="46" t="n">
        <x:v>75</x:v>
      </x:c>
      <x:c r="B162" s="27" t="str">
        <x:v>黎明山川</x:v>
      </x:c>
      <x:c r="C162" s="49" t="str">
        <x:v>花晨</x:v>
      </x:c>
      <x:c r="D162" s="49" t="str">
        <x:v>花晨</x:v>
      </x:c>
      <x:c r="E162" s="49" t="str">
        <x:v>留盟</x:v>
      </x:c>
      <x:c r="F162" s="49" t="str">
        <x:v>花晨</x:v>
      </x:c>
      <x:c r="G162" s="49" t="str">
        <x:v>花晨</x:v>
      </x:c>
      <x:c r="H162" s="37" t="n">
        <x:v>27.8</x:v>
      </x:c>
      <x:c r="I162" s="37" t="n">
        <x:v>22.5</x:v>
      </x:c>
      <x:c r="J162" s="40" t="n">
        <x:v>666</x:v>
      </x:c>
      <x:c r="K162" s="40" t="n">
        <x:v>723</x:v>
      </x:c>
      <x:c r="L162" s="40" t="n">
        <x:v>634</x:v>
      </x:c>
      <x:c r="M162" s="40" t="n">
        <x:v>527</x:v>
      </x:c>
      <x:c r="N162" s="40" t="n">
        <x:v>755</x:v>
      </x:c>
      <x:c r="O162" s="40" t="n">
        <x:v>586</x:v>
      </x:c>
      <x:c r="P162" s="40" t="n">
        <x:f>IF(COUNT(J162:O162)=0,"",SUM(J162:O162))</x:f>
        <x:v>3891</x:v>
      </x:c>
      <x:c r="Q162" s="40" t="n">
        <x:v>1361308088</x:v>
      </x:c>
      <x:c r="R162" s="40" t="n">
        <x:v>84628414</x:v>
      </x:c>
      <x:c r="S162" s="40" t="n">
        <x:v>229275806</x:v>
      </x:c>
      <x:c r="T162" s="40" t="n">
        <x:v>0</x:v>
      </x:c>
      <x:c r="U162" s="40" t="n">
        <x:v>120280</x:v>
      </x:c>
      <x:c r="V162" s="49" t="str">
        <x:v>宫阙3级</x:v>
      </x:c>
      <x:c r="W162" s="49" t="n">
        <x:v>1</x:v>
      </x:c>
      <x:c r="X162" s="52" t="n">
        <x:f>ROUND(100*(0.4*LN(1+Q162)/LN(1+MAX($Q$5:$Q$395))+0.35*R162/MAX($R$5:$R$395)+0.15*S162/MAX($S$5:$S$395)+IF(P162="",0,0.1*P162/MAX($P$5:$P$395)))/IF(P162="",0.9,1),1)</x:f>
        <x:v>70.6</x:v>
      </x:c>
      <x:c r="Y162" s="49" t="n">
        <x:f>RANK.EQ(X162,$X$5:$X$395,0)</x:f>
        <x:v>197</x:v>
      </x:c>
      <x:c r="Z162" s="34" t="str">
        <x:v>保持当前盟，减少迁移成本</x:v>
      </x:c>
      <x:c r="AA162" s="55"/>
    </x:row>
    <x:row r="163" ht="20" customHeight="1">
      <x:c r="A163" s="46" t="n">
        <x:v>32</x:v>
      </x:c>
      <x:c r="B163" s="27" t="str">
        <x:v>弄啥嘞</x:v>
      </x:c>
      <x:c r="C163" s="49" t="str">
        <x:v>花晨</x:v>
      </x:c>
      <x:c r="D163" s="49" t="str">
        <x:v>花晨</x:v>
      </x:c>
      <x:c r="E163" s="49" t="str">
        <x:v>留盟</x:v>
      </x:c>
      <x:c r="F163" s="49" t="str">
        <x:v>花晨</x:v>
      </x:c>
      <x:c r="G163" s="49"/>
      <x:c r="H163" s="37"/>
      <x:c r="I163" s="37"/>
      <x:c r="J163" s="40"/>
      <x:c r="K163" s="40"/>
      <x:c r="L163" s="40"/>
      <x:c r="M163" s="40"/>
      <x:c r="N163" s="40"/>
      <x:c r="O163" s="40"/>
      <x:c r="P163" s="40" t="str">
        <x:f>IF(COUNT(J163:O163)=0,"",SUM(J163:O163))</x:f>
      </x:c>
      <x:c r="Q163" s="40" t="n">
        <x:v>3316891686</x:v>
      </x:c>
      <x:c r="R163" s="40" t="n">
        <x:v>76448310</x:v>
      </x:c>
      <x:c r="S163" s="40" t="n">
        <x:v>215299940</x:v>
      </x:c>
      <x:c r="T163" s="40" t="n">
        <x:v>0</x:v>
      </x:c>
      <x:c r="U163" s="40" t="n">
        <x:v>84240</x:v>
      </x:c>
      <x:c r="V163" s="49" t="str">
        <x:v>宫阙3级</x:v>
      </x:c>
      <x:c r="W163" s="49" t="n">
        <x:v>2</x:v>
      </x:c>
      <x:c r="X163" s="52" t="n">
        <x:f>ROUND(100*(0.4*LN(1+Q163)/LN(1+MAX($Q$5:$Q$395))+0.35*R163/MAX($R$5:$R$395)+0.15*S163/MAX($S$5:$S$395)+IF(P163="",0,0.1*P163/MAX($P$5:$P$395)))/IF(P163="",0.9,1),1)</x:f>
        <x:v>70.6</x:v>
      </x:c>
      <x:c r="Y163" s="49" t="n">
        <x:f>RANK.EQ(X163,$X$5:$X$395,0)</x:f>
        <x:v>197</x:v>
      </x:c>
      <x:c r="Z163" s="34" t="str">
        <x:v>保持当前盟，减少迁移成本</x:v>
      </x:c>
      <x:c r="AA163" s="55" t="str">
        <x:v>六维未匹配</x:v>
      </x:c>
    </x:row>
    <x:row r="164" ht="20" customHeight="1">
      <x:c r="A164" s="46" t="n">
        <x:v>62</x:v>
      </x:c>
      <x:c r="B164" s="27" t="str">
        <x:v>赵小浪</x:v>
      </x:c>
      <x:c r="C164" s="49" t="str">
        <x:v>花晨</x:v>
      </x:c>
      <x:c r="D164" s="49" t="str">
        <x:v>花晨</x:v>
      </x:c>
      <x:c r="E164" s="49" t="str">
        <x:v>留盟</x:v>
      </x:c>
      <x:c r="F164" s="49" t="str">
        <x:v>花晨</x:v>
      </x:c>
      <x:c r="G164" s="49" t="str">
        <x:v>花晨</x:v>
      </x:c>
      <x:c r="H164" s="37"/>
      <x:c r="I164" s="37" t="n">
        <x:v>24.8</x:v>
      </x:c>
      <x:c r="J164" s="40" t="n">
        <x:v>700</x:v>
      </x:c>
      <x:c r="K164" s="40" t="n">
        <x:v>801</x:v>
      </x:c>
      <x:c r="L164" s="40" t="n">
        <x:v>528</x:v>
      </x:c>
      <x:c r="M164" s="40" t="n">
        <x:v>382</x:v>
      </x:c>
      <x:c r="N164" s="40" t="n">
        <x:v>746</x:v>
      </x:c>
      <x:c r="O164" s="40" t="n">
        <x:v>669</x:v>
      </x:c>
      <x:c r="P164" s="40" t="n">
        <x:f>IF(COUNT(J164:O164)=0,"",SUM(J164:O164))</x:f>
        <x:v>3826</x:v>
      </x:c>
      <x:c r="Q164" s="40" t="n">
        <x:v>1972678080</x:v>
      </x:c>
      <x:c r="R164" s="40" t="n">
        <x:v>77394563</x:v>
      </x:c>
      <x:c r="S164" s="40" t="n">
        <x:v>266541127</x:v>
      </x:c>
      <x:c r="T164" s="40" t="n">
        <x:v>0</x:v>
      </x:c>
      <x:c r="U164" s="40" t="n">
        <x:v>48000</x:v>
      </x:c>
      <x:c r="V164" s="49" t="str">
        <x:v>宫阙3级</x:v>
      </x:c>
      <x:c r="W164" s="49" t="n">
        <x:v>1</x:v>
      </x:c>
      <x:c r="X164" s="52" t="n">
        <x:f>ROUND(100*(0.4*LN(1+Q164)/LN(1+MAX($Q$5:$Q$395))+0.35*R164/MAX($R$5:$R$395)+0.15*S164/MAX($S$5:$S$395)+IF(P164="",0,0.1*P164/MAX($P$5:$P$395)))/IF(P164="",0.9,1),1)</x:f>
        <x:v>70.4</x:v>
      </x:c>
      <x:c r="Y164" s="49" t="n">
        <x:f>RANK.EQ(X164,$X$5:$X$395,0)</x:f>
        <x:v>200</x:v>
      </x:c>
      <x:c r="Z164" s="34" t="str">
        <x:v>保持当前盟，减少迁移成本</x:v>
      </x:c>
      <x:c r="AA164" s="55"/>
    </x:row>
    <x:row r="165" ht="20" customHeight="1">
      <x:c r="A165" s="46" t="n">
        <x:v>55</x:v>
      </x:c>
      <x:c r="B165" s="27" t="str">
        <x:v>冷血使者</x:v>
      </x:c>
      <x:c r="C165" s="49" t="str">
        <x:v>花晨</x:v>
      </x:c>
      <x:c r="D165" s="49" t="str">
        <x:v>花晨</x:v>
      </x:c>
      <x:c r="E165" s="49" t="str">
        <x:v>留盟</x:v>
      </x:c>
      <x:c r="F165" s="49" t="str">
        <x:v>花晨</x:v>
      </x:c>
      <x:c r="G165" s="49" t="str">
        <x:v>花晨</x:v>
      </x:c>
      <x:c r="H165" s="37" t="n">
        <x:v>27.7</x:v>
      </x:c>
      <x:c r="I165" s="37" t="n">
        <x:v>22.5</x:v>
      </x:c>
      <x:c r="J165" s="40" t="n">
        <x:v>679</x:v>
      </x:c>
      <x:c r="K165" s="40" t="n">
        <x:v>792</x:v>
      </x:c>
      <x:c r="L165" s="40" t="n">
        <x:v>596</x:v>
      </x:c>
      <x:c r="M165" s="40" t="n">
        <x:v>536</x:v>
      </x:c>
      <x:c r="N165" s="40" t="n">
        <x:v>675</x:v>
      </x:c>
      <x:c r="O165" s="40" t="n">
        <x:v>673</x:v>
      </x:c>
      <x:c r="P165" s="40" t="n">
        <x:f>IF(COUNT(J165:O165)=0,"",SUM(J165:O165))</x:f>
        <x:v>3951</x:v>
      </x:c>
      <x:c r="Q165" s="40" t="n">
        <x:v>2219477946</x:v>
      </x:c>
      <x:c r="R165" s="40" t="n">
        <x:v>82821688</x:v>
      </x:c>
      <x:c r="S165" s="40" t="n">
        <x:v>201266731</x:v>
      </x:c>
      <x:c r="T165" s="40" t="n">
        <x:v>0</x:v>
      </x:c>
      <x:c r="U165" s="40" t="n">
        <x:v>98440</x:v>
      </x:c>
      <x:c r="V165" s="49" t="str">
        <x:v>宫阙3级</x:v>
      </x:c>
      <x:c r="W165" s="49" t="n">
        <x:v>1</x:v>
      </x:c>
      <x:c r="X165" s="52" t="n">
        <x:f>ROUND(100*(0.4*LN(1+Q165)/LN(1+MAX($Q$5:$Q$395))+0.35*R165/MAX($R$5:$R$395)+0.15*S165/MAX($S$5:$S$395)+IF(P165="",0,0.1*P165/MAX($P$5:$P$395)))/IF(P165="",0.9,1),1)</x:f>
        <x:v>70.3</x:v>
      </x:c>
      <x:c r="Y165" s="49" t="n">
        <x:f>RANK.EQ(X165,$X$5:$X$395,0)</x:f>
        <x:v>202</x:v>
      </x:c>
      <x:c r="Z165" s="34" t="str">
        <x:v>保持当前盟，减少迁移成本</x:v>
      </x:c>
      <x:c r="AA165" s="55"/>
    </x:row>
    <x:row r="166" ht="20" customHeight="1">
      <x:c r="A166" s="46" t="n">
        <x:v>43</x:v>
      </x:c>
      <x:c r="B166" s="27" t="str">
        <x:v>凌云黑起</x:v>
      </x:c>
      <x:c r="C166" s="49" t="str">
        <x:v>花晨</x:v>
      </x:c>
      <x:c r="D166" s="49" t="str">
        <x:v>花晨</x:v>
      </x:c>
      <x:c r="E166" s="49" t="str">
        <x:v>留盟</x:v>
      </x:c>
      <x:c r="F166" s="49" t="str">
        <x:v>玲珑</x:v>
      </x:c>
      <x:c r="G166" s="49" t="str">
        <x:v>花晨</x:v>
      </x:c>
      <x:c r="H166" s="37" t="n">
        <x:v>29</x:v>
      </x:c>
      <x:c r="I166" s="37" t="n">
        <x:v>26</x:v>
      </x:c>
      <x:c r="J166" s="40" t="n">
        <x:v>706</x:v>
      </x:c>
      <x:c r="K166" s="40" t="n">
        <x:v>657</x:v>
      </x:c>
      <x:c r="L166" s="40" t="n">
        <x:v>644</x:v>
      </x:c>
      <x:c r="M166" s="40" t="n">
        <x:v>578</x:v>
      </x:c>
      <x:c r="N166" s="40" t="n">
        <x:v>697</x:v>
      </x:c>
      <x:c r="O166" s="40" t="n">
        <x:v>560</x:v>
      </x:c>
      <x:c r="P166" s="40" t="n">
        <x:f>IF(COUNT(J166:O166)=0,"",SUM(J166:O166))</x:f>
        <x:v>3842</x:v>
      </x:c>
      <x:c r="Q166" s="40" t="n">
        <x:v>2751067841</x:v>
      </x:c>
      <x:c r="R166" s="40" t="n">
        <x:v>78605327</x:v>
      </x:c>
      <x:c r="S166" s="40" t="n">
        <x:v>229087783</x:v>
      </x:c>
      <x:c r="T166" s="40" t="n">
        <x:v>0</x:v>
      </x:c>
      <x:c r="U166" s="40" t="n">
        <x:v>143280</x:v>
      </x:c>
      <x:c r="V166" s="49" t="str">
        <x:v>宫阙3级</x:v>
      </x:c>
      <x:c r="W166" s="49" t="n">
        <x:v>2</x:v>
      </x:c>
      <x:c r="X166" s="52" t="n">
        <x:f>ROUND(100*(0.4*LN(1+Q166)/LN(1+MAX($Q$5:$Q$395))+0.35*R166/MAX($R$5:$R$395)+0.15*S166/MAX($S$5:$S$395)+IF(P166="",0,0.1*P166/MAX($P$5:$P$395)))/IF(P166="",0.9,1),1)</x:f>
        <x:v>70.2</x:v>
      </x:c>
      <x:c r="Y166" s="49" t="n">
        <x:f>RANK.EQ(X166,$X$5:$X$395,0)</x:f>
        <x:v>205</x:v>
      </x:c>
      <x:c r="Z166" s="34" t="str">
        <x:v>保持当前盟，减少迁移成本</x:v>
      </x:c>
      <x:c r="AA166" s="55"/>
    </x:row>
    <x:row r="167" ht="20" customHeight="1">
      <x:c r="A167" s="46" t="n">
        <x:v>79</x:v>
      </x:c>
      <x:c r="B167" s="27" t="str">
        <x:v>矿主大多</x:v>
      </x:c>
      <x:c r="C167" s="49" t="str">
        <x:v>花晨</x:v>
      </x:c>
      <x:c r="D167" s="49" t="str">
        <x:v>花晨</x:v>
      </x:c>
      <x:c r="E167" s="49" t="str">
        <x:v>留盟</x:v>
      </x:c>
      <x:c r="F167" s="49" t="str">
        <x:v>花晨</x:v>
      </x:c>
      <x:c r="G167" s="49" t="str">
        <x:v>花晨</x:v>
      </x:c>
      <x:c r="H167" s="37" t="n">
        <x:v>28</x:v>
      </x:c>
      <x:c r="I167" s="37" t="n">
        <x:v>22.5</x:v>
      </x:c>
      <x:c r="J167" s="40" t="n">
        <x:v>663</x:v>
      </x:c>
      <x:c r="K167" s="40" t="n">
        <x:v>739</x:v>
      </x:c>
      <x:c r="L167" s="40" t="n">
        <x:v>610</x:v>
      </x:c>
      <x:c r="M167" s="40" t="n">
        <x:v>498</x:v>
      </x:c>
      <x:c r="N167" s="40" t="n">
        <x:v>647</x:v>
      </x:c>
      <x:c r="O167" s="40" t="n">
        <x:v>729</x:v>
      </x:c>
      <x:c r="P167" s="40" t="n">
        <x:f>IF(COUNT(J167:O167)=0,"",SUM(J167:O167))</x:f>
        <x:v>3886</x:v>
      </x:c>
      <x:c r="Q167" s="40" t="n">
        <x:v>1078935862</x:v>
      </x:c>
      <x:c r="R167" s="40" t="n">
        <x:v>82288993</x:v>
      </x:c>
      <x:c r="S167" s="40" t="n">
        <x:v>247657255</x:v>
      </x:c>
      <x:c r="T167" s="40" t="n">
        <x:v>0</x:v>
      </x:c>
      <x:c r="U167" s="40" t="n">
        <x:v>89000</x:v>
      </x:c>
      <x:c r="V167" s="49" t="str">
        <x:v>宫阙3级</x:v>
      </x:c>
      <x:c r="W167" s="49" t="n">
        <x:v>1</x:v>
      </x:c>
      <x:c r="X167" s="52" t="n">
        <x:f>ROUND(100*(0.4*LN(1+Q167)/LN(1+MAX($Q$5:$Q$395))+0.35*R167/MAX($R$5:$R$395)+0.15*S167/MAX($S$5:$S$395)+IF(P167="",0,0.1*P167/MAX($P$5:$P$395)))/IF(P167="",0.9,1),1)</x:f>
        <x:v>70.2</x:v>
      </x:c>
      <x:c r="Y167" s="49" t="n">
        <x:f>RANK.EQ(X167,$X$5:$X$395,0)</x:f>
        <x:v>205</x:v>
      </x:c>
      <x:c r="Z167" s="34" t="str">
        <x:v>保持当前盟，减少迁移成本</x:v>
      </x:c>
      <x:c r="AA167" s="55"/>
    </x:row>
    <x:row r="168" ht="20" customHeight="1">
      <x:c r="A168" s="46" t="n">
        <x:v>83</x:v>
      </x:c>
      <x:c r="B168" s="27" t="str">
        <x:v>算无遗策</x:v>
      </x:c>
      <x:c r="C168" s="49" t="str">
        <x:v>花晨</x:v>
      </x:c>
      <x:c r="D168" s="49" t="str">
        <x:v>花晨</x:v>
      </x:c>
      <x:c r="E168" s="49" t="str">
        <x:v>留盟</x:v>
      </x:c>
      <x:c r="F168" s="49" t="str">
        <x:v>花晨</x:v>
      </x:c>
      <x:c r="G168" s="49"/>
      <x:c r="H168" s="37"/>
      <x:c r="I168" s="37"/>
      <x:c r="J168" s="40"/>
      <x:c r="K168" s="40"/>
      <x:c r="L168" s="40"/>
      <x:c r="M168" s="40"/>
      <x:c r="N168" s="40"/>
      <x:c r="O168" s="40"/>
      <x:c r="P168" s="40" t="str">
        <x:f>IF(COUNT(J168:O168)=0,"",SUM(J168:O168))</x:f>
      </x:c>
      <x:c r="Q168" s="40" t="n">
        <x:v>956713394</x:v>
      </x:c>
      <x:c r="R168" s="40" t="n">
        <x:v>70596464</x:v>
      </x:c>
      <x:c r="S168" s="40" t="n">
        <x:v>264098211</x:v>
      </x:c>
      <x:c r="T168" s="40" t="n">
        <x:v>0</x:v>
      </x:c>
      <x:c r="U168" s="40" t="n">
        <x:v>57120</x:v>
      </x:c>
      <x:c r="V168" s="49" t="str">
        <x:v>宫阙3级</x:v>
      </x:c>
      <x:c r="W168" s="49" t="n">
        <x:v>1</x:v>
      </x:c>
      <x:c r="X168" s="52" t="n">
        <x:f>ROUND(100*(0.4*LN(1+Q168)/LN(1+MAX($Q$5:$Q$395))+0.35*R168/MAX($R$5:$R$395)+0.15*S168/MAX($S$5:$S$395)+IF(P168="",0,0.1*P168/MAX($P$5:$P$395)))/IF(P168="",0.9,1),1)</x:f>
        <x:v>68.2</x:v>
      </x:c>
      <x:c r="Y168" s="49" t="n">
        <x:f>RANK.EQ(X168,$X$5:$X$395,0)</x:f>
        <x:v>229</x:v>
      </x:c>
      <x:c r="Z168" s="34" t="str">
        <x:v>保持当前盟，减少迁移成本</x:v>
      </x:c>
      <x:c r="AA168" s="55" t="str">
        <x:v>六维未匹配</x:v>
      </x:c>
    </x:row>
    <x:row r="169" ht="20" customHeight="1">
      <x:c r="A169" s="46" t="n">
        <x:v>88</x:v>
      </x:c>
      <x:c r="B169" s="27" t="str">
        <x:v>经常冷冰冰</x:v>
      </x:c>
      <x:c r="C169" s="49" t="str">
        <x:v>花晨</x:v>
      </x:c>
      <x:c r="D169" s="49" t="str">
        <x:v>花晨</x:v>
      </x:c>
      <x:c r="E169" s="49" t="str">
        <x:v>留盟</x:v>
      </x:c>
      <x:c r="F169" s="49" t="str"/>
      <x:c r="G169" s="49"/>
      <x:c r="H169" s="37"/>
      <x:c r="I169" s="37"/>
      <x:c r="J169" s="40"/>
      <x:c r="K169" s="40"/>
      <x:c r="L169" s="40"/>
      <x:c r="M169" s="40"/>
      <x:c r="N169" s="40"/>
      <x:c r="O169" s="40"/>
      <x:c r="P169" s="40" t="str">
        <x:f>IF(COUNT(J169:O169)=0,"",SUM(J169:O169))</x:f>
      </x:c>
      <x:c r="Q169" s="40" t="n">
        <x:v>309395430</x:v>
      </x:c>
      <x:c r="R169" s="40" t="n">
        <x:v>79629181</x:v>
      </x:c>
      <x:c r="S169" s="40" t="n">
        <x:v>248131042</x:v>
      </x:c>
      <x:c r="T169" s="40" t="n">
        <x:v>0</x:v>
      </x:c>
      <x:c r="U169" s="40" t="n">
        <x:v>93720</x:v>
      </x:c>
      <x:c r="V169" s="49" t="str">
        <x:v>宫阙3级</x:v>
      </x:c>
      <x:c r="W169" s="49" t="n">
        <x:v>1</x:v>
      </x:c>
      <x:c r="X169" s="52" t="n">
        <x:f>ROUND(100*(0.4*LN(1+Q169)/LN(1+MAX($Q$5:$Q$395))+0.35*R169/MAX($R$5:$R$395)+0.15*S169/MAX($S$5:$S$395)+IF(P169="",0,0.1*P169/MAX($P$5:$P$395)))/IF(P169="",0.9,1),1)</x:f>
        <x:v>68.1</x:v>
      </x:c>
      <x:c r="Y169" s="49" t="n">
        <x:f>RANK.EQ(X169,$X$5:$X$395,0)</x:f>
        <x:v>233</x:v>
      </x:c>
      <x:c r="Z169" s="34" t="str">
        <x:v>保持当前盟，减少迁移成本</x:v>
      </x:c>
      <x:c r="AA169" s="55" t="str">
        <x:v>六维未匹配</x:v>
      </x:c>
    </x:row>
    <x:row r="170" ht="20" customHeight="1">
      <x:c r="A170" s="46" t="n">
        <x:v>246</x:v>
      </x:c>
      <x:c r="B170" s="27" t="str">
        <x:v>汉武大帝</x:v>
      </x:c>
      <x:c r="C170" s="49" t="str">
        <x:v>兰亭</x:v>
      </x:c>
      <x:c r="D170" s="49" t="str">
        <x:v>花晨</x:v>
      </x:c>
      <x:c r="E170" s="49" t="str">
        <x:v>兰亭→花晨</x:v>
      </x:c>
      <x:c r="F170" s="49" t="str">
        <x:v>花晨</x:v>
      </x:c>
      <x:c r="G170" s="49" t="str">
        <x:v>兰亭</x:v>
      </x:c>
      <x:c r="H170" s="37" t="n">
        <x:v>26</x:v>
      </x:c>
      <x:c r="I170" s="37" t="n">
        <x:v>26</x:v>
      </x:c>
      <x:c r="J170" s="40" t="n">
        <x:v>629</x:v>
      </x:c>
      <x:c r="K170" s="40" t="n">
        <x:v>469</x:v>
      </x:c>
      <x:c r="L170" s="40" t="n">
        <x:v>680</x:v>
      </x:c>
      <x:c r="M170" s="40" t="n">
        <x:v>382</x:v>
      </x:c>
      <x:c r="N170" s="40" t="n">
        <x:v>661</x:v>
      </x:c>
      <x:c r="O170" s="40" t="n">
        <x:v>442</x:v>
      </x:c>
      <x:c r="P170" s="40" t="n">
        <x:f>IF(COUNT(J170:O170)=0,"",SUM(J170:O170))</x:f>
        <x:v>3263</x:v>
      </x:c>
      <x:c r="Q170" s="40" t="n">
        <x:v>3808894782</x:v>
      </x:c>
      <x:c r="R170" s="40" t="n">
        <x:v>73323262</x:v>
      </x:c>
      <x:c r="S170" s="40" t="n">
        <x:v>209237788</x:v>
      </x:c>
      <x:c r="T170" s="40" t="n">
        <x:v>0</x:v>
      </x:c>
      <x:c r="U170" s="40" t="n">
        <x:v>141600</x:v>
      </x:c>
      <x:c r="V170" s="49" t="str">
        <x:v>宫阙3级</x:v>
      </x:c>
      <x:c r="W170" s="49" t="n">
        <x:v>3</x:v>
      </x:c>
      <x:c r="X170" s="52" t="n">
        <x:f>ROUND(100*(0.4*LN(1+Q170)/LN(1+MAX($Q$5:$Q$395))+0.35*R170/MAX($R$5:$R$395)+0.15*S170/MAX($S$5:$S$395)+IF(P170="",0,0.1*P170/MAX($P$5:$P$395)))/IF(P170="",0.9,1),1)</x:f>
        <x:v>67.9</x:v>
      </x:c>
      <x:c r="Y170" s="49" t="n">
        <x:f>RANK.EQ(X170,$X$5:$X$395,0)</x:f>
        <x:v>237</x:v>
      </x:c>
      <x:c r="Z170" s="34" t="str">
        <x:v>参考旧分配方案并结合容量调整</x:v>
      </x:c>
      <x:c r="AA170" s="55"/>
    </x:row>
    <x:row r="171" ht="20" customHeight="1">
      <x:c r="A171" s="46" t="n">
        <x:v>85</x:v>
      </x:c>
      <x:c r="B171" s="27" t="str">
        <x:v>位面之子</x:v>
      </x:c>
      <x:c r="C171" s="49" t="str">
        <x:v>花晨</x:v>
      </x:c>
      <x:c r="D171" s="49" t="str">
        <x:v>花晨</x:v>
      </x:c>
      <x:c r="E171" s="49" t="str">
        <x:v>留盟</x:v>
      </x:c>
      <x:c r="F171" s="49" t="str">
        <x:v>花晨</x:v>
      </x:c>
      <x:c r="G171" s="49"/>
      <x:c r="H171" s="37" t="n">
        <x:v>27.7</x:v>
      </x:c>
      <x:c r="I171" s="37" t="n">
        <x:v>24.6</x:v>
      </x:c>
      <x:c r="J171" s="40" t="n">
        <x:v>653</x:v>
      </x:c>
      <x:c r="K171" s="40" t="n">
        <x:v>612</x:v>
      </x:c>
      <x:c r="L171" s="40" t="n">
        <x:v>642</x:v>
      </x:c>
      <x:c r="M171" s="40" t="n">
        <x:v>509</x:v>
      </x:c>
      <x:c r="N171" s="40" t="n">
        <x:v>622</x:v>
      </x:c>
      <x:c r="O171" s="40" t="n">
        <x:v>722</x:v>
      </x:c>
      <x:c r="P171" s="40" t="n">
        <x:f>IF(COUNT(J171:O171)=0,"",SUM(J171:O171))</x:f>
        <x:v>3760</x:v>
      </x:c>
      <x:c r="Q171" s="40" t="n">
        <x:v>467432702</x:v>
      </x:c>
      <x:c r="R171" s="40" t="n">
        <x:v>75571065</x:v>
      </x:c>
      <x:c r="S171" s="40" t="n">
        <x:v>280878494</x:v>
      </x:c>
      <x:c r="T171" s="40" t="n">
        <x:v>0</x:v>
      </x:c>
      <x:c r="U171" s="40" t="n">
        <x:v>125280</x:v>
      </x:c>
      <x:c r="V171" s="49" t="str">
        <x:v>宫阙3级</x:v>
      </x:c>
      <x:c r="W171" s="49" t="n">
        <x:v>1</x:v>
      </x:c>
      <x:c r="X171" s="52" t="n">
        <x:f>ROUND(100*(0.4*LN(1+Q171)/LN(1+MAX($Q$5:$Q$395))+0.35*R171/MAX($R$5:$R$395)+0.15*S171/MAX($S$5:$S$395)+IF(P171="",0,0.1*P171/MAX($P$5:$P$395)))/IF(P171="",0.9,1),1)</x:f>
        <x:v>67.8</x:v>
      </x:c>
      <x:c r="Y171" s="49" t="n">
        <x:f>RANK.EQ(X171,$X$5:$X$395,0)</x:f>
        <x:v>238</x:v>
      </x:c>
      <x:c r="Z171" s="34" t="str">
        <x:v>保持当前盟，减少迁移成本</x:v>
      </x:c>
      <x:c r="AA171" s="55"/>
    </x:row>
    <x:row r="172" ht="20" customHeight="1">
      <x:c r="A172" s="46" t="n">
        <x:v>68</x:v>
      </x:c>
      <x:c r="B172" s="27" t="str">
        <x:v>彩云之南</x:v>
      </x:c>
      <x:c r="C172" s="49" t="str">
        <x:v>花晨</x:v>
      </x:c>
      <x:c r="D172" s="49" t="str">
        <x:v>花晨</x:v>
      </x:c>
      <x:c r="E172" s="49" t="str">
        <x:v>留盟</x:v>
      </x:c>
      <x:c r="F172" s="49" t="str">
        <x:v>花晨</x:v>
      </x:c>
      <x:c r="G172" s="49" t="str">
        <x:v>花晨</x:v>
      </x:c>
      <x:c r="H172" s="37" t="n">
        <x:v>20</x:v>
      </x:c>
      <x:c r="I172" s="37" t="n">
        <x:v>20</x:v>
      </x:c>
      <x:c r="J172" s="40" t="n">
        <x:v>644</x:v>
      </x:c>
      <x:c r="K172" s="40" t="n">
        <x:v>604</x:v>
      </x:c>
      <x:c r="L172" s="40" t="n">
        <x:v>599</x:v>
      </x:c>
      <x:c r="M172" s="40" t="n">
        <x:v>549</x:v>
      </x:c>
      <x:c r="N172" s="40" t="n">
        <x:v>682</x:v>
      </x:c>
      <x:c r="O172" s="40" t="n">
        <x:v>562</x:v>
      </x:c>
      <x:c r="P172" s="40" t="n">
        <x:f>IF(COUNT(J172:O172)=0,"",SUM(J172:O172))</x:f>
        <x:v>3640</x:v>
      </x:c>
      <x:c r="Q172" s="40" t="n">
        <x:v>1721880932</x:v>
      </x:c>
      <x:c r="R172" s="40" t="n">
        <x:v>75014109</x:v>
      </x:c>
      <x:c r="S172" s="40" t="n">
        <x:v>210178420</x:v>
      </x:c>
      <x:c r="T172" s="40" t="n">
        <x:v>0</x:v>
      </x:c>
      <x:c r="U172" s="40" t="n">
        <x:v>52320</x:v>
      </x:c>
      <x:c r="V172" s="49" t="str">
        <x:v>宫阙3级</x:v>
      </x:c>
      <x:c r="W172" s="49" t="n">
        <x:v>1</x:v>
      </x:c>
      <x:c r="X172" s="52" t="n">
        <x:f>ROUND(100*(0.4*LN(1+Q172)/LN(1+MAX($Q$5:$Q$395))+0.35*R172/MAX($R$5:$R$395)+0.15*S172/MAX($S$5:$S$395)+IF(P172="",0,0.1*P172/MAX($P$5:$P$395)))/IF(P172="",0.9,1),1)</x:f>
        <x:v>67.6</x:v>
      </x:c>
      <x:c r="Y172" s="49" t="n">
        <x:f>RANK.EQ(X172,$X$5:$X$395,0)</x:f>
        <x:v>240</x:v>
      </x:c>
      <x:c r="Z172" s="34" t="str">
        <x:v>保持当前盟，减少迁移成本</x:v>
      </x:c>
      <x:c r="AA172" s="55"/>
    </x:row>
    <x:row r="173" ht="20" customHeight="1">
      <x:c r="A173" s="46" t="n">
        <x:v>84</x:v>
      </x:c>
      <x:c r="B173" s="27" t="str">
        <x:v>随缘一生</x:v>
      </x:c>
      <x:c r="C173" s="49" t="str">
        <x:v>花晨</x:v>
      </x:c>
      <x:c r="D173" s="49" t="str">
        <x:v>花晨</x:v>
      </x:c>
      <x:c r="E173" s="49" t="str">
        <x:v>留盟</x:v>
      </x:c>
      <x:c r="F173" s="49" t="str">
        <x:v>玲珑</x:v>
      </x:c>
      <x:c r="G173" s="49"/>
      <x:c r="H173" s="37"/>
      <x:c r="I173" s="37"/>
      <x:c r="J173" s="40"/>
      <x:c r="K173" s="40"/>
      <x:c r="L173" s="40"/>
      <x:c r="M173" s="40"/>
      <x:c r="N173" s="40"/>
      <x:c r="O173" s="40"/>
      <x:c r="P173" s="40" t="str">
        <x:f>IF(COUNT(J173:O173)=0,"",SUM(J173:O173))</x:f>
      </x:c>
      <x:c r="Q173" s="40" t="n">
        <x:v>621343222</x:v>
      </x:c>
      <x:c r="R173" s="40" t="n">
        <x:v>71411705</x:v>
      </x:c>
      <x:c r="S173" s="40" t="n">
        <x:v>247663556</x:v>
      </x:c>
      <x:c r="T173" s="40" t="n">
        <x:v>0</x:v>
      </x:c>
      <x:c r="U173" s="40" t="n">
        <x:v>58320</x:v>
      </x:c>
      <x:c r="V173" s="49" t="str">
        <x:v>宫阙3级</x:v>
      </x:c>
      <x:c r="W173" s="49" t="n">
        <x:v>2</x:v>
      </x:c>
      <x:c r="X173" s="52" t="n">
        <x:f>ROUND(100*(0.4*LN(1+Q173)/LN(1+MAX($Q$5:$Q$395))+0.35*R173/MAX($R$5:$R$395)+0.15*S173/MAX($S$5:$S$395)+IF(P173="",0,0.1*P173/MAX($P$5:$P$395)))/IF(P173="",0.9,1),1)</x:f>
        <x:v>67</x:v>
      </x:c>
      <x:c r="Y173" s="49" t="n">
        <x:f>RANK.EQ(X173,$X$5:$X$395,0)</x:f>
        <x:v>242</x:v>
      </x:c>
      <x:c r="Z173" s="34" t="str">
        <x:v>保持当前盟，减少迁移成本</x:v>
      </x:c>
      <x:c r="AA173" s="55" t="str">
        <x:v>六维未匹配</x:v>
      </x:c>
    </x:row>
    <x:row r="174" ht="20" customHeight="1">
      <x:c r="A174" s="46" t="n">
        <x:v>87</x:v>
      </x:c>
      <x:c r="B174" s="27" t="str">
        <x:v>秦八鹿</x:v>
      </x:c>
      <x:c r="C174" s="49" t="str">
        <x:v>花晨</x:v>
      </x:c>
      <x:c r="D174" s="49" t="str">
        <x:v>花晨</x:v>
      </x:c>
      <x:c r="E174" s="49" t="str">
        <x:v>留盟</x:v>
      </x:c>
      <x:c r="F174" s="49" t="str">
        <x:v>花晨</x:v>
      </x:c>
      <x:c r="G174" s="49" t="str">
        <x:v>花晨</x:v>
      </x:c>
      <x:c r="H174" s="37" t="n">
        <x:v>28.5</x:v>
      </x:c>
      <x:c r="I174" s="37" t="n">
        <x:v>25.9</x:v>
      </x:c>
      <x:c r="J174" s="40" t="n">
        <x:v>698</x:v>
      </x:c>
      <x:c r="K174" s="40" t="n">
        <x:v>586</x:v>
      </x:c>
      <x:c r="L174" s="40" t="n">
        <x:v>610</x:v>
      </x:c>
      <x:c r="M174" s="40" t="n">
        <x:v>470</x:v>
      </x:c>
      <x:c r="N174" s="40" t="n">
        <x:v>645</x:v>
      </x:c>
      <x:c r="O174" s="40" t="n">
        <x:v>464</x:v>
      </x:c>
      <x:c r="P174" s="40" t="n">
        <x:f>IF(COUNT(J174:O174)=0,"",SUM(J174:O174))</x:f>
        <x:v>3473</x:v>
      </x:c>
      <x:c r="Q174" s="40" t="n">
        <x:v>321964368</x:v>
      </x:c>
      <x:c r="R174" s="40" t="n">
        <x:v>78008441</x:v>
      </x:c>
      <x:c r="S174" s="40" t="n">
        <x:v>269871777</x:v>
      </x:c>
      <x:c r="T174" s="40" t="n">
        <x:v>0</x:v>
      </x:c>
      <x:c r="U174" s="40" t="n">
        <x:v>62200</x:v>
      </x:c>
      <x:c r="V174" s="49" t="str">
        <x:v>宫阙3级</x:v>
      </x:c>
      <x:c r="W174" s="49" t="n">
        <x:v>1</x:v>
      </x:c>
      <x:c r="X174" s="52" t="n">
        <x:f>ROUND(100*(0.4*LN(1+Q174)/LN(1+MAX($Q$5:$Q$395))+0.35*R174/MAX($R$5:$R$395)+0.15*S174/MAX($S$5:$S$395)+IF(P174="",0,0.1*P174/MAX($P$5:$P$395)))/IF(P174="",0.9,1),1)</x:f>
        <x:v>67</x:v>
      </x:c>
      <x:c r="Y174" s="49" t="n">
        <x:f>RANK.EQ(X174,$X$5:$X$395,0)</x:f>
        <x:v>242</x:v>
      </x:c>
      <x:c r="Z174" s="34" t="str">
        <x:v>保持当前盟，减少迁移成本</x:v>
      </x:c>
      <x:c r="AA174" s="55"/>
    </x:row>
    <x:row r="175" ht="20" customHeight="1">
      <x:c r="A175" s="46" t="n">
        <x:v>76</x:v>
      </x:c>
      <x:c r="B175" s="27" t="str">
        <x:v>云笙翡翠</x:v>
      </x:c>
      <x:c r="C175" s="49" t="str">
        <x:v>花晨</x:v>
      </x:c>
      <x:c r="D175" s="49" t="str">
        <x:v>花晨</x:v>
      </x:c>
      <x:c r="E175" s="49" t="str">
        <x:v>留盟</x:v>
      </x:c>
      <x:c r="F175" s="49" t="str">
        <x:v>玲珑</x:v>
      </x:c>
      <x:c r="G175" s="49" t="str">
        <x:v>花晨</x:v>
      </x:c>
      <x:c r="H175" s="37" t="n">
        <x:v>26.7</x:v>
      </x:c>
      <x:c r="I175" s="37" t="n">
        <x:v>26.7</x:v>
      </x:c>
      <x:c r="J175" s="40" t="n">
        <x:v>629</x:v>
      </x:c>
      <x:c r="K175" s="40" t="n">
        <x:v>608</x:v>
      </x:c>
      <x:c r="L175" s="40" t="n">
        <x:v>681</x:v>
      </x:c>
      <x:c r="M175" s="40" t="n">
        <x:v>544</x:v>
      </x:c>
      <x:c r="N175" s="40" t="n">
        <x:v>716</x:v>
      </x:c>
      <x:c r="O175" s="40" t="n">
        <x:v>593</x:v>
      </x:c>
      <x:c r="P175" s="40" t="n">
        <x:f>IF(COUNT(J175:O175)=0,"",SUM(J175:O175))</x:f>
        <x:v>3771</x:v>
      </x:c>
      <x:c r="Q175" s="40" t="n">
        <x:v>1219177024</x:v>
      </x:c>
      <x:c r="R175" s="40" t="n">
        <x:v>72087570</x:v>
      </x:c>
      <x:c r="S175" s="40" t="n">
        <x:v>224802270</x:v>
      </x:c>
      <x:c r="T175" s="40" t="n">
        <x:v>0</x:v>
      </x:c>
      <x:c r="U175" s="40" t="n">
        <x:v>77760</x:v>
      </x:c>
      <x:c r="V175" s="49" t="str">
        <x:v>宫阙3级</x:v>
      </x:c>
      <x:c r="W175" s="49" t="n">
        <x:v>2</x:v>
      </x:c>
      <x:c r="X175" s="52" t="n">
        <x:f>ROUND(100*(0.4*LN(1+Q175)/LN(1+MAX($Q$5:$Q$395))+0.35*R175/MAX($R$5:$R$395)+0.15*S175/MAX($S$5:$S$395)+IF(P175="",0,0.1*P175/MAX($P$5:$P$395)))/IF(P175="",0.9,1),1)</x:f>
        <x:v>66.9</x:v>
      </x:c>
      <x:c r="Y175" s="49" t="n">
        <x:f>RANK.EQ(X175,$X$5:$X$395,0)</x:f>
        <x:v>244</x:v>
      </x:c>
      <x:c r="Z175" s="34" t="str">
        <x:v>保持当前盟，减少迁移成本</x:v>
      </x:c>
      <x:c r="AA175" s="55"/>
    </x:row>
    <x:row r="176" ht="20" customHeight="1">
      <x:c r="A176" s="46" t="n">
        <x:v>248</x:v>
      </x:c>
      <x:c r="B176" s="27" t="str">
        <x:v>追梦者</x:v>
      </x:c>
      <x:c r="C176" s="49" t="str">
        <x:v>兰亭</x:v>
      </x:c>
      <x:c r="D176" s="49" t="str">
        <x:v>花晨</x:v>
      </x:c>
      <x:c r="E176" s="49" t="str">
        <x:v>兰亭→花晨</x:v>
      </x:c>
      <x:c r="F176" s="49" t="str"/>
      <x:c r="G176" s="49" t="str">
        <x:v>花晨</x:v>
      </x:c>
      <x:c r="H176" s="37" t="n">
        <x:v>26.4</x:v>
      </x:c>
      <x:c r="I176" s="37" t="n">
        <x:v>26.4</x:v>
      </x:c>
      <x:c r="J176" s="40" t="n">
        <x:v>668</x:v>
      </x:c>
      <x:c r="K176" s="40" t="n">
        <x:v>667</x:v>
      </x:c>
      <x:c r="L176" s="40" t="n">
        <x:v>588</x:v>
      </x:c>
      <x:c r="M176" s="40" t="n">
        <x:v>361</x:v>
      </x:c>
      <x:c r="N176" s="40" t="n">
        <x:v>685</x:v>
      </x:c>
      <x:c r="O176" s="40" t="n">
        <x:v>684</x:v>
      </x:c>
      <x:c r="P176" s="40" t="n">
        <x:f>IF(COUNT(J176:O176)=0,"",SUM(J176:O176))</x:f>
        <x:v>3653</x:v>
      </x:c>
      <x:c r="Q176" s="40" t="n">
        <x:v>3728997154</x:v>
      </x:c>
      <x:c r="R176" s="40" t="n">
        <x:v>65823659</x:v>
      </x:c>
      <x:c r="S176" s="40" t="n">
        <x:v>220012399</x:v>
      </x:c>
      <x:c r="T176" s="40" t="n">
        <x:v>0</x:v>
      </x:c>
      <x:c r="U176" s="40" t="n">
        <x:v>60480</x:v>
      </x:c>
      <x:c r="V176" s="49" t="str">
        <x:v>宫阙3级</x:v>
      </x:c>
      <x:c r="W176" s="49" t="n">
        <x:v>3</x:v>
      </x:c>
      <x:c r="X176" s="52" t="n">
        <x:f>ROUND(100*(0.4*LN(1+Q176)/LN(1+MAX($Q$5:$Q$395))+0.35*R176/MAX($R$5:$R$395)+0.15*S176/MAX($S$5:$S$395)+IF(P176="",0,0.1*P176/MAX($P$5:$P$395)))/IF(P176="",0.9,1),1)</x:f>
        <x:v>66.9</x:v>
      </x:c>
      <x:c r="Y176" s="49" t="n">
        <x:f>RANK.EQ(X176,$X$5:$X$395,0)</x:f>
        <x:v>244</x:v>
      </x:c>
      <x:c r="Z176" s="34" t="str">
        <x:v>按原意向并结合容量调整</x:v>
      </x:c>
      <x:c r="AA176" s="55"/>
    </x:row>
    <x:row r="177" ht="20" customHeight="1">
      <x:c r="A177" s="46" t="n">
        <x:v>61</x:v>
      </x:c>
      <x:c r="B177" s="27" t="str">
        <x:v>为了艾泽拉斯</x:v>
      </x:c>
      <x:c r="C177" s="49" t="str">
        <x:v>花晨</x:v>
      </x:c>
      <x:c r="D177" s="49" t="str">
        <x:v>花晨</x:v>
      </x:c>
      <x:c r="E177" s="49" t="str">
        <x:v>留盟</x:v>
      </x:c>
      <x:c r="F177" s="49" t="str">
        <x:v>花晨</x:v>
      </x:c>
      <x:c r="G177" s="49" t="str">
        <x:v>花晨</x:v>
      </x:c>
      <x:c r="H177" s="37" t="n">
        <x:v>27.4</x:v>
      </x:c>
      <x:c r="I177" s="37" t="n">
        <x:v>26</x:v>
      </x:c>
      <x:c r="J177" s="40" t="n">
        <x:v>650</x:v>
      </x:c>
      <x:c r="K177" s="40" t="n">
        <x:v>425</x:v>
      </x:c>
      <x:c r="L177" s="40" t="n">
        <x:v>580</x:v>
      </x:c>
      <x:c r="M177" s="40" t="n">
        <x:v>650</x:v>
      </x:c>
      <x:c r="N177" s="40" t="n">
        <x:v>683</x:v>
      </x:c>
      <x:c r="O177" s="40" t="n">
        <x:v>650</x:v>
      </x:c>
      <x:c r="P177" s="40" t="n">
        <x:f>IF(COUNT(J177:O177)=0,"",SUM(J177:O177))</x:f>
        <x:v>3638</x:v>
      </x:c>
      <x:c r="Q177" s="40" t="n">
        <x:v>1993162702</x:v>
      </x:c>
      <x:c r="R177" s="40" t="n">
        <x:v>70884376</x:v>
      </x:c>
      <x:c r="S177" s="40" t="n">
        <x:v>208659657</x:v>
      </x:c>
      <x:c r="T177" s="40" t="n">
        <x:v>0</x:v>
      </x:c>
      <x:c r="U177" s="40" t="n">
        <x:v>87600</x:v>
      </x:c>
      <x:c r="V177" s="49" t="str">
        <x:v>宫阙3级</x:v>
      </x:c>
      <x:c r="W177" s="49" t="n">
        <x:v>3</x:v>
      </x:c>
      <x:c r="X177" s="52" t="n">
        <x:f>ROUND(100*(0.4*LN(1+Q177)/LN(1+MAX($Q$5:$Q$395))+0.35*R177/MAX($R$5:$R$395)+0.15*S177/MAX($S$5:$S$395)+IF(P177="",0,0.1*P177/MAX($P$5:$P$395)))/IF(P177="",0.9,1),1)</x:f>
        <x:v>66.7</x:v>
      </x:c>
      <x:c r="Y177" s="49" t="n">
        <x:f>RANK.EQ(X177,$X$5:$X$395,0)</x:f>
        <x:v>246</x:v>
      </x:c>
      <x:c r="Z177" s="34" t="str">
        <x:v>保持当前盟，减少迁移成本</x:v>
      </x:c>
      <x:c r="AA177" s="55"/>
    </x:row>
    <x:row r="178" ht="20" customHeight="1">
      <x:c r="A178" s="46" t="n">
        <x:v>72</x:v>
      </x:c>
      <x:c r="B178" s="27" t="str">
        <x:v>枫树湾</x:v>
      </x:c>
      <x:c r="C178" s="49" t="str">
        <x:v>花晨</x:v>
      </x:c>
      <x:c r="D178" s="49" t="str">
        <x:v>花晨</x:v>
      </x:c>
      <x:c r="E178" s="49" t="str">
        <x:v>留盟</x:v>
      </x:c>
      <x:c r="F178" s="49" t="str">
        <x:v>花晨</x:v>
      </x:c>
      <x:c r="G178" s="49"/>
      <x:c r="H178" s="37"/>
      <x:c r="I178" s="37"/>
      <x:c r="J178" s="40"/>
      <x:c r="K178" s="40"/>
      <x:c r="L178" s="40"/>
      <x:c r="M178" s="40"/>
      <x:c r="N178" s="40"/>
      <x:c r="O178" s="40"/>
      <x:c r="P178" s="40" t="str">
        <x:f>IF(COUNT(J178:O178)=0,"",SUM(J178:O178))</x:f>
      </x:c>
      <x:c r="Q178" s="40" t="n">
        <x:v>1513314172</x:v>
      </x:c>
      <x:c r="R178" s="40" t="n">
        <x:v>67581323</x:v>
      </x:c>
      <x:c r="S178" s="40" t="n">
        <x:v>212867907</x:v>
      </x:c>
      <x:c r="T178" s="40" t="n">
        <x:v>0</x:v>
      </x:c>
      <x:c r="U178" s="40" t="n">
        <x:v>103680</x:v>
      </x:c>
      <x:c r="V178" s="49" t="str">
        <x:v>宫阙3级</x:v>
      </x:c>
      <x:c r="W178" s="49" t="n">
        <x:v>3</x:v>
      </x:c>
      <x:c r="X178" s="52" t="n">
        <x:f>ROUND(100*(0.4*LN(1+Q178)/LN(1+MAX($Q$5:$Q$395))+0.35*R178/MAX($R$5:$R$395)+0.15*S178/MAX($S$5:$S$395)+IF(P178="",0,0.1*P178/MAX($P$5:$P$395)))/IF(P178="",0.9,1),1)</x:f>
        <x:v>66.5</x:v>
      </x:c>
      <x:c r="Y178" s="49" t="n">
        <x:f>RANK.EQ(X178,$X$5:$X$395,0)</x:f>
        <x:v>247</x:v>
      </x:c>
      <x:c r="Z178" s="34" t="str">
        <x:v>保持当前盟，减少迁移成本</x:v>
      </x:c>
      <x:c r="AA178" s="55" t="str">
        <x:v>六维未匹配</x:v>
      </x:c>
    </x:row>
    <x:row r="179" ht="20" customHeight="1">
      <x:c r="A179" s="46" t="n">
        <x:v>295</x:v>
      </x:c>
      <x:c r="B179" s="27" t="str">
        <x:v>涿郡屠户</x:v>
      </x:c>
      <x:c r="C179" s="49" t="str">
        <x:v>兰亭</x:v>
      </x:c>
      <x:c r="D179" s="49" t="str">
        <x:v>花晨</x:v>
      </x:c>
      <x:c r="E179" s="49" t="str">
        <x:v>兰亭→花晨</x:v>
      </x:c>
      <x:c r="F179" s="49" t="str">
        <x:v>花晨</x:v>
      </x:c>
      <x:c r="G179" s="49"/>
      <x:c r="H179" s="37"/>
      <x:c r="I179" s="37"/>
      <x:c r="J179" s="40"/>
      <x:c r="K179" s="40"/>
      <x:c r="L179" s="40"/>
      <x:c r="M179" s="40"/>
      <x:c r="N179" s="40"/>
      <x:c r="O179" s="40"/>
      <x:c r="P179" s="40" t="str">
        <x:f>IF(COUNT(J179:O179)=0,"",SUM(J179:O179))</x:f>
      </x:c>
      <x:c r="Q179" s="40" t="n">
        <x:v>95363376</x:v>
      </x:c>
      <x:c r="R179" s="40" t="n">
        <x:v>77408055</x:v>
      </x:c>
      <x:c r="S179" s="40" t="n">
        <x:v>277211281</x:v>
      </x:c>
      <x:c r="T179" s="40" t="n">
        <x:v>0</x:v>
      </x:c>
      <x:c r="U179" s="40" t="n">
        <x:v>110880</x:v>
      </x:c>
      <x:c r="V179" s="49" t="str">
        <x:v>宫阙3级</x:v>
      </x:c>
      <x:c r="W179" s="49" t="n">
        <x:v>3</x:v>
      </x:c>
      <x:c r="X179" s="52" t="n">
        <x:f>ROUND(100*(0.4*LN(1+Q179)/LN(1+MAX($Q$5:$Q$395))+0.35*R179/MAX($R$5:$R$395)+0.15*S179/MAX($S$5:$S$395)+IF(P179="",0,0.1*P179/MAX($P$5:$P$395)))/IF(P179="",0.9,1),1)</x:f>
        <x:v>66.2</x:v>
      </x:c>
      <x:c r="Y179" s="49" t="n">
        <x:f>RANK.EQ(X179,$X$5:$X$395,0)</x:f>
        <x:v>250</x:v>
      </x:c>
      <x:c r="Z179" s="34" t="str">
        <x:v>参考旧分配方案并结合容量调整</x:v>
      </x:c>
      <x:c r="AA179" s="55" t="str">
        <x:v>六维未匹配</x:v>
      </x:c>
    </x:row>
    <x:row r="180" ht="20" customHeight="1">
      <x:c r="A180" s="46" t="n">
        <x:v>93</x:v>
      </x:c>
      <x:c r="B180" s="27" t="str">
        <x:v>红伞伞</x:v>
      </x:c>
      <x:c r="C180" s="49" t="str">
        <x:v>花晨</x:v>
      </x:c>
      <x:c r="D180" s="49" t="str">
        <x:v>花晨</x:v>
      </x:c>
      <x:c r="E180" s="49" t="str">
        <x:v>留盟</x:v>
      </x:c>
      <x:c r="F180" s="49" t="str">
        <x:v>花晨</x:v>
      </x:c>
      <x:c r="G180" s="49" t="str">
        <x:v>花晨</x:v>
      </x:c>
      <x:c r="H180" s="37" t="n">
        <x:v>25.5</x:v>
      </x:c>
      <x:c r="I180" s="37" t="n">
        <x:v>25.5</x:v>
      </x:c>
      <x:c r="J180" s="40" t="n">
        <x:v>716</x:v>
      </x:c>
      <x:c r="K180" s="40" t="n">
        <x:v>762</x:v>
      </x:c>
      <x:c r="L180" s="40" t="n">
        <x:v>623</x:v>
      </x:c>
      <x:c r="M180" s="40" t="n">
        <x:v>423</x:v>
      </x:c>
      <x:c r="N180" s="40" t="n">
        <x:v>680</x:v>
      </x:c>
      <x:c r="O180" s="40" t="n">
        <x:v>632</x:v>
      </x:c>
      <x:c r="P180" s="40" t="n">
        <x:f>IF(COUNT(J180:O180)=0,"",SUM(J180:O180))</x:f>
        <x:v>3836</x:v>
      </x:c>
      <x:c r="Q180" s="40" t="n">
        <x:v>169533888</x:v>
      </x:c>
      <x:c r="R180" s="40" t="n">
        <x:v>77989545</x:v>
      </x:c>
      <x:c r="S180" s="40" t="n">
        <x:v>243710636</x:v>
      </x:c>
      <x:c r="T180" s="40" t="n">
        <x:v>0</x:v>
      </x:c>
      <x:c r="U180" s="40" t="n">
        <x:v>90120</x:v>
      </x:c>
      <x:c r="V180" s="49" t="str">
        <x:v>宫阙3级</x:v>
      </x:c>
      <x:c r="W180" s="49" t="n">
        <x:v>1</x:v>
      </x:c>
      <x:c r="X180" s="52" t="n">
        <x:f>ROUND(100*(0.4*LN(1+Q180)/LN(1+MAX($Q$5:$Q$395))+0.35*R180/MAX($R$5:$R$395)+0.15*S180/MAX($S$5:$S$395)+IF(P180="",0,0.1*P180/MAX($P$5:$P$395)))/IF(P180="",0.9,1),1)</x:f>
        <x:v>65.7</x:v>
      </x:c>
      <x:c r="Y180" s="49" t="n">
        <x:f>RANK.EQ(X180,$X$5:$X$395,0)</x:f>
        <x:v>252</x:v>
      </x:c>
      <x:c r="Z180" s="34" t="str">
        <x:v>保持当前盟，减少迁移成本</x:v>
      </x:c>
      <x:c r="AA180" s="55"/>
    </x:row>
    <x:row r="181" ht="20" customHeight="1">
      <x:c r="A181" s="46" t="n">
        <x:v>56</x:v>
      </x:c>
      <x:c r="B181" s="27" t="str">
        <x:v>心存晴朗</x:v>
      </x:c>
      <x:c r="C181" s="49" t="str">
        <x:v>花晨</x:v>
      </x:c>
      <x:c r="D181" s="49" t="str">
        <x:v>花晨</x:v>
      </x:c>
      <x:c r="E181" s="49" t="str">
        <x:v>留盟</x:v>
      </x:c>
      <x:c r="F181" s="49" t="str">
        <x:v>燕云</x:v>
      </x:c>
      <x:c r="G181" s="49"/>
      <x:c r="H181" s="37"/>
      <x:c r="I181" s="37"/>
      <x:c r="J181" s="40"/>
      <x:c r="K181" s="40"/>
      <x:c r="L181" s="40"/>
      <x:c r="M181" s="40"/>
      <x:c r="N181" s="40"/>
      <x:c r="O181" s="40"/>
      <x:c r="P181" s="40" t="str">
        <x:f>IF(COUNT(J181:O181)=0,"",SUM(J181:O181))</x:f>
      </x:c>
      <x:c r="Q181" s="40" t="n">
        <x:v>2181774426</x:v>
      </x:c>
      <x:c r="R181" s="40" t="n">
        <x:v>62541413</x:v>
      </x:c>
      <x:c r="S181" s="40" t="n">
        <x:v>178455400</x:v>
      </x:c>
      <x:c r="T181" s="40" t="n">
        <x:v>0</x:v>
      </x:c>
      <x:c r="U181" s="40" t="n">
        <x:v>82320</x:v>
      </x:c>
      <x:c r="V181" s="49" t="str">
        <x:v>宫阙2级</x:v>
      </x:c>
      <x:c r="W181" s="49" t="n">
        <x:v>2</x:v>
      </x:c>
      <x:c r="X181" s="52" t="n">
        <x:f>ROUND(100*(0.4*LN(1+Q181)/LN(1+MAX($Q$5:$Q$395))+0.35*R181/MAX($R$5:$R$395)+0.15*S181/MAX($S$5:$S$395)+IF(P181="",0,0.1*P181/MAX($P$5:$P$395)))/IF(P181="",0.9,1),1)</x:f>
        <x:v>64.6</x:v>
      </x:c>
      <x:c r="Y181" s="49" t="n">
        <x:f>RANK.EQ(X181,$X$5:$X$395,0)</x:f>
        <x:v>260</x:v>
      </x:c>
      <x:c r="Z181" s="34" t="str">
        <x:v>保持当前盟，减少迁移成本</x:v>
      </x:c>
      <x:c r="AA181" s="55" t="str">
        <x:v>六维未匹配</x:v>
      </x:c>
    </x:row>
    <x:row r="182" ht="20" customHeight="1">
      <x:c r="A182" s="46" t="n">
        <x:v>89</x:v>
      </x:c>
      <x:c r="B182" s="27" t="str">
        <x:v>阿波池得</x:v>
      </x:c>
      <x:c r="C182" s="49" t="str">
        <x:v>花晨</x:v>
      </x:c>
      <x:c r="D182" s="49" t="str">
        <x:v>花晨</x:v>
      </x:c>
      <x:c r="E182" s="49" t="str">
        <x:v>留盟</x:v>
      </x:c>
      <x:c r="F182" s="49" t="str">
        <x:v>花晨</x:v>
      </x:c>
      <x:c r="G182" s="49"/>
      <x:c r="H182" s="37"/>
      <x:c r="I182" s="37"/>
      <x:c r="J182" s="40"/>
      <x:c r="K182" s="40"/>
      <x:c r="L182" s="40"/>
      <x:c r="M182" s="40"/>
      <x:c r="N182" s="40"/>
      <x:c r="O182" s="40"/>
      <x:c r="P182" s="40" t="str">
        <x:f>IF(COUNT(J182:O182)=0,"",SUM(J182:O182))</x:f>
      </x:c>
      <x:c r="Q182" s="40" t="n">
        <x:v>304565854</x:v>
      </x:c>
      <x:c r="R182" s="40" t="n">
        <x:v>74137183</x:v>
      </x:c>
      <x:c r="S182" s="40" t="n">
        <x:v>189742182</x:v>
      </x:c>
      <x:c r="T182" s="40" t="n">
        <x:v>0</x:v>
      </x:c>
      <x:c r="U182" s="40" t="n">
        <x:v>8880</x:v>
      </x:c>
      <x:c r="V182" s="49" t="str">
        <x:v>宫阙3级</x:v>
      </x:c>
      <x:c r="W182" s="49" t="n">
        <x:v>3</x:v>
      </x:c>
      <x:c r="X182" s="52" t="n">
        <x:f>ROUND(100*(0.4*LN(1+Q182)/LN(1+MAX($Q$5:$Q$395))+0.35*R182/MAX($R$5:$R$395)+0.15*S182/MAX($S$5:$S$395)+IF(P182="",0,0.1*P182/MAX($P$5:$P$395)))/IF(P182="",0.9,1),1)</x:f>
        <x:v>64.6</x:v>
      </x:c>
      <x:c r="Y182" s="49" t="n">
        <x:f>RANK.EQ(X182,$X$5:$X$395,0)</x:f>
        <x:v>260</x:v>
      </x:c>
      <x:c r="Z182" s="34" t="str">
        <x:v>保持当前盟，减少迁移成本</x:v>
      </x:c>
      <x:c r="AA182" s="55" t="str">
        <x:v>六维未匹配</x:v>
      </x:c>
    </x:row>
    <x:row r="183" ht="20" customHeight="1">
      <x:c r="A183" s="46" t="n">
        <x:v>45</x:v>
      </x:c>
      <x:c r="B183" s="27" t="str">
        <x:v>嘤熊小号</x:v>
      </x:c>
      <x:c r="C183" s="49" t="str">
        <x:v>花晨</x:v>
      </x:c>
      <x:c r="D183" s="49" t="str">
        <x:v>花晨</x:v>
      </x:c>
      <x:c r="E183" s="49" t="str">
        <x:v>留盟</x:v>
      </x:c>
      <x:c r="F183" s="49" t="str">
        <x:v>燕云</x:v>
      </x:c>
      <x:c r="G183" s="49" t="str">
        <x:v>玲珑</x:v>
      </x:c>
      <x:c r="H183" s="37" t="n">
        <x:v>25.9</x:v>
      </x:c>
      <x:c r="I183" s="37" t="n">
        <x:v>25.9</x:v>
      </x:c>
      <x:c r="J183" s="40" t="n">
        <x:v>638</x:v>
      </x:c>
      <x:c r="K183" s="40" t="n">
        <x:v>600</x:v>
      </x:c>
      <x:c r="L183" s="40" t="n">
        <x:v>541</x:v>
      </x:c>
      <x:c r="M183" s="40" t="n">
        <x:v>430</x:v>
      </x:c>
      <x:c r="N183" s="40" t="n">
        <x:v>634</x:v>
      </x:c>
      <x:c r="O183" s="40" t="n">
        <x:v>628</x:v>
      </x:c>
      <x:c r="P183" s="40" t="n">
        <x:f>IF(COUNT(J183:O183)=0,"",SUM(J183:O183))</x:f>
        <x:v>3471</x:v>
      </x:c>
      <x:c r="Q183" s="40" t="n">
        <x:v>2674485644</x:v>
      </x:c>
      <x:c r="R183" s="40" t="n">
        <x:v>64886169</x:v>
      </x:c>
      <x:c r="S183" s="40" t="n">
        <x:v>173806552</x:v>
      </x:c>
      <x:c r="T183" s="40" t="n">
        <x:v>0</x:v>
      </x:c>
      <x:c r="U183" s="40" t="n">
        <x:v>84000</x:v>
      </x:c>
      <x:c r="V183" s="49" t="str">
        <x:v>宫阙3级</x:v>
      </x:c>
      <x:c r="W183" s="49" t="n">
        <x:v>2</x:v>
      </x:c>
      <x:c r="X183" s="52" t="n">
        <x:f>ROUND(100*(0.4*LN(1+Q183)/LN(1+MAX($Q$5:$Q$395))+0.35*R183/MAX($R$5:$R$395)+0.15*S183/MAX($S$5:$S$395)+IF(P183="",0,0.1*P183/MAX($P$5:$P$395)))/IF(P183="",0.9,1),1)</x:f>
        <x:v>64.4</x:v>
      </x:c>
      <x:c r="Y183" s="49" t="n">
        <x:f>RANK.EQ(X183,$X$5:$X$395,0)</x:f>
        <x:v>262</x:v>
      </x:c>
      <x:c r="Z183" s="34" t="str">
        <x:v>保持当前盟，减少迁移成本</x:v>
      </x:c>
      <x:c r="AA183" s="55"/>
    </x:row>
    <x:row r="184" ht="20" customHeight="1">
      <x:c r="A184" s="46" t="n">
        <x:v>90</x:v>
      </x:c>
      <x:c r="B184" s="27" t="str">
        <x:v>白杆杆</x:v>
      </x:c>
      <x:c r="C184" s="49" t="str">
        <x:v>花晨</x:v>
      </x:c>
      <x:c r="D184" s="49" t="str">
        <x:v>花晨</x:v>
      </x:c>
      <x:c r="E184" s="49" t="str">
        <x:v>留盟</x:v>
      </x:c>
      <x:c r="F184" s="49" t="str">
        <x:v>花晨</x:v>
      </x:c>
      <x:c r="G184" s="49"/>
      <x:c r="H184" s="37"/>
      <x:c r="I184" s="37"/>
      <x:c r="J184" s="40"/>
      <x:c r="K184" s="40"/>
      <x:c r="L184" s="40"/>
      <x:c r="M184" s="40"/>
      <x:c r="N184" s="40"/>
      <x:c r="O184" s="40"/>
      <x:c r="P184" s="40" t="str">
        <x:f>IF(COUNT(J184:O184)=0,"",SUM(J184:O184))</x:f>
      </x:c>
      <x:c r="Q184" s="40" t="n">
        <x:v>280566500</x:v>
      </x:c>
      <x:c r="R184" s="40" t="n">
        <x:v>68647264</x:v>
      </x:c>
      <x:c r="S184" s="40" t="n">
        <x:v>237124658</x:v>
      </x:c>
      <x:c r="T184" s="40" t="n">
        <x:v>0</x:v>
      </x:c>
      <x:c r="U184" s="40" t="n">
        <x:v>44480</x:v>
      </x:c>
      <x:c r="V184" s="49" t="str">
        <x:v>宫阙3级</x:v>
      </x:c>
      <x:c r="W184" s="49" t="n">
        <x:v>1</x:v>
      </x:c>
      <x:c r="X184" s="52" t="n">
        <x:f>ROUND(100*(0.4*LN(1+Q184)/LN(1+MAX($Q$5:$Q$395))+0.35*R184/MAX($R$5:$R$395)+0.15*S184/MAX($S$5:$S$395)+IF(P184="",0,0.1*P184/MAX($P$5:$P$395)))/IF(P184="",0.9,1),1)</x:f>
        <x:v>64.4</x:v>
      </x:c>
      <x:c r="Y184" s="49" t="n">
        <x:f>RANK.EQ(X184,$X$5:$X$395,0)</x:f>
        <x:v>262</x:v>
      </x:c>
      <x:c r="Z184" s="34" t="str">
        <x:v>保持当前盟，减少迁移成本</x:v>
      </x:c>
      <x:c r="AA184" s="55" t="str">
        <x:v>六维未匹配</x:v>
      </x:c>
    </x:row>
    <x:row r="185" ht="20" customHeight="1">
      <x:c r="A185" s="46" t="n">
        <x:v>57</x:v>
      </x:c>
      <x:c r="B185" s="27" t="str">
        <x:v>青禾嗲</x:v>
      </x:c>
      <x:c r="C185" s="49" t="str">
        <x:v>花晨</x:v>
      </x:c>
      <x:c r="D185" s="49" t="str">
        <x:v>花晨</x:v>
      </x:c>
      <x:c r="E185" s="49" t="str">
        <x:v>留盟</x:v>
      </x:c>
      <x:c r="F185" s="49" t="str">
        <x:v>花晨</x:v>
      </x:c>
      <x:c r="G185" s="49" t="str">
        <x:v>花晨</x:v>
      </x:c>
      <x:c r="H185" s="37" t="n">
        <x:v>26</x:v>
      </x:c>
      <x:c r="I185" s="37" t="n">
        <x:v>24.8</x:v>
      </x:c>
      <x:c r="J185" s="40" t="n">
        <x:v>570</x:v>
      </x:c>
      <x:c r="K185" s="40" t="n">
        <x:v>550</x:v>
      </x:c>
      <x:c r="L185" s="40" t="n">
        <x:v>600</x:v>
      </x:c>
      <x:c r="M185" s="40" t="n">
        <x:v>400</x:v>
      </x:c>
      <x:c r="N185" s="40" t="n">
        <x:v>598</x:v>
      </x:c>
      <x:c r="O185" s="40" t="n">
        <x:v>308</x:v>
      </x:c>
      <x:c r="P185" s="40" t="n">
        <x:f>IF(COUNT(J185:O185)=0,"",SUM(J185:O185))</x:f>
        <x:v>3026</x:v>
      </x:c>
      <x:c r="Q185" s="40" t="n">
        <x:v>2154098478</x:v>
      </x:c>
      <x:c r="R185" s="40" t="n">
        <x:v>64906314</x:v>
      </x:c>
      <x:c r="S185" s="40" t="n">
        <x:v>207418579</x:v>
      </x:c>
      <x:c r="T185" s="40" t="n">
        <x:v>0</x:v>
      </x:c>
      <x:c r="U185" s="40" t="n">
        <x:v>95040</x:v>
      </x:c>
      <x:c r="V185" s="49" t="str">
        <x:v>宫阙3级</x:v>
      </x:c>
      <x:c r="W185" s="49" t="n">
        <x:v>3</x:v>
      </x:c>
      <x:c r="X185" s="52" t="n">
        <x:f>ROUND(100*(0.4*LN(1+Q185)/LN(1+MAX($Q$5:$Q$395))+0.35*R185/MAX($R$5:$R$395)+0.15*S185/MAX($S$5:$S$395)+IF(P185="",0,0.1*P185/MAX($P$5:$P$395)))/IF(P185="",0.9,1),1)</x:f>
        <x:v>64.3</x:v>
      </x:c>
      <x:c r="Y185" s="49" t="n">
        <x:f>RANK.EQ(X185,$X$5:$X$395,0)</x:f>
        <x:v>265</x:v>
      </x:c>
      <x:c r="Z185" s="34" t="str">
        <x:v>保持当前盟，减少迁移成本</x:v>
      </x:c>
      <x:c r="AA185" s="55"/>
    </x:row>
    <x:row r="186" ht="20" customHeight="1">
      <x:c r="A186" s="46" t="n">
        <x:v>92</x:v>
      </x:c>
      <x:c r="B186" s="27" t="str">
        <x:v>无名英雄</x:v>
      </x:c>
      <x:c r="C186" s="49" t="str">
        <x:v>花晨</x:v>
      </x:c>
      <x:c r="D186" s="49" t="str">
        <x:v>花晨</x:v>
      </x:c>
      <x:c r="E186" s="49" t="str">
        <x:v>留盟</x:v>
      </x:c>
      <x:c r="F186" s="49" t="str">
        <x:v>花晨</x:v>
      </x:c>
      <x:c r="G186" s="49"/>
      <x:c r="H186" s="37"/>
      <x:c r="I186" s="37"/>
      <x:c r="J186" s="40"/>
      <x:c r="K186" s="40"/>
      <x:c r="L186" s="40"/>
      <x:c r="M186" s="40"/>
      <x:c r="N186" s="40"/>
      <x:c r="O186" s="40"/>
      <x:c r="P186" s="40" t="str">
        <x:f>IF(COUNT(J186:O186)=0,"",SUM(J186:O186))</x:f>
      </x:c>
      <x:c r="Q186" s="40" t="n">
        <x:v>177636424</x:v>
      </x:c>
      <x:c r="R186" s="40" t="n">
        <x:v>69877557</x:v>
      </x:c>
      <x:c r="S186" s="40" t="n">
        <x:v>234437612</x:v>
      </x:c>
      <x:c r="T186" s="40" t="n">
        <x:v>0</x:v>
      </x:c>
      <x:c r="U186" s="40" t="n">
        <x:v>88960</x:v>
      </x:c>
      <x:c r="V186" s="49" t="str">
        <x:v>宫阙3级</x:v>
      </x:c>
      <x:c r="W186" s="49" t="n">
        <x:v>1</x:v>
      </x:c>
      <x:c r="X186" s="52" t="n">
        <x:f>ROUND(100*(0.4*LN(1+Q186)/LN(1+MAX($Q$5:$Q$395))+0.35*R186/MAX($R$5:$R$395)+0.15*S186/MAX($S$5:$S$395)+IF(P186="",0,0.1*P186/MAX($P$5:$P$395)))/IF(P186="",0.9,1),1)</x:f>
        <x:v>63.8</x:v>
      </x:c>
      <x:c r="Y186" s="49" t="n">
        <x:f>RANK.EQ(X186,$X$5:$X$395,0)</x:f>
        <x:v>268</x:v>
      </x:c>
      <x:c r="Z186" s="34" t="str">
        <x:v>保持当前盟，减少迁移成本</x:v>
      </x:c>
      <x:c r="AA186" s="55" t="str">
        <x:v>六维未匹配</x:v>
      </x:c>
    </x:row>
    <x:row r="187" ht="20" customHeight="1">
      <x:c r="A187" s="46" t="n">
        <x:v>47</x:v>
      </x:c>
      <x:c r="B187" s="27" t="str">
        <x:v>歪歪歪</x:v>
      </x:c>
      <x:c r="C187" s="49" t="str">
        <x:v>花晨</x:v>
      </x:c>
      <x:c r="D187" s="49" t="str">
        <x:v>花晨</x:v>
      </x:c>
      <x:c r="E187" s="49" t="str">
        <x:v>留盟</x:v>
      </x:c>
      <x:c r="F187" s="49" t="str">
        <x:v>花晨</x:v>
      </x:c>
      <x:c r="G187" s="49"/>
      <x:c r="H187" s="37"/>
      <x:c r="I187" s="37"/>
      <x:c r="J187" s="40"/>
      <x:c r="K187" s="40"/>
      <x:c r="L187" s="40"/>
      <x:c r="M187" s="40"/>
      <x:c r="N187" s="40"/>
      <x:c r="O187" s="40"/>
      <x:c r="P187" s="40" t="str">
        <x:f>IF(COUNT(J187:O187)=0,"",SUM(J187:O187))</x:f>
      </x:c>
      <x:c r="Q187" s="40" t="n">
        <x:v>2578061976</x:v>
      </x:c>
      <x:c r="R187" s="40" t="n">
        <x:v>57863400</x:v>
      </x:c>
      <x:c r="S187" s="40" t="n">
        <x:v>173379742</x:v>
      </x:c>
      <x:c r="T187" s="40" t="n">
        <x:v>0</x:v>
      </x:c>
      <x:c r="U187" s="40" t="n">
        <x:v>132240</x:v>
      </x:c>
      <x:c r="V187" s="49" t="str">
        <x:v>宫阙2级</x:v>
      </x:c>
      <x:c r="W187" s="49" t="n">
        <x:v>4</x:v>
      </x:c>
      <x:c r="X187" s="52" t="n">
        <x:f>ROUND(100*(0.4*LN(1+Q187)/LN(1+MAX($Q$5:$Q$395))+0.35*R187/MAX($R$5:$R$395)+0.15*S187/MAX($S$5:$S$395)+IF(P187="",0,0.1*P187/MAX($P$5:$P$395)))/IF(P187="",0.9,1),1)</x:f>
        <x:v>63.5</x:v>
      </x:c>
      <x:c r="Y187" s="49" t="n">
        <x:f>RANK.EQ(X187,$X$5:$X$395,0)</x:f>
        <x:v>269</x:v>
      </x:c>
      <x:c r="Z187" s="34" t="str">
        <x:v>保持当前盟，减少迁移成本</x:v>
      </x:c>
      <x:c r="AA187" s="55" t="str">
        <x:v>六维未匹配</x:v>
      </x:c>
    </x:row>
    <x:row r="188" ht="20" customHeight="1">
      <x:c r="A188" s="46" t="n">
        <x:v>97</x:v>
      </x:c>
      <x:c r="B188" s="27" t="str">
        <x:v>春秋之王</x:v>
      </x:c>
      <x:c r="C188" s="49" t="str">
        <x:v>花晨</x:v>
      </x:c>
      <x:c r="D188" s="49" t="str">
        <x:v>花晨</x:v>
      </x:c>
      <x:c r="E188" s="49" t="str">
        <x:v>留盟</x:v>
      </x:c>
      <x:c r="F188" s="49" t="str">
        <x:v>花晨</x:v>
      </x:c>
      <x:c r="G188" s="49"/>
      <x:c r="H188" s="37"/>
      <x:c r="I188" s="37"/>
      <x:c r="J188" s="40"/>
      <x:c r="K188" s="40"/>
      <x:c r="L188" s="40"/>
      <x:c r="M188" s="40"/>
      <x:c r="N188" s="40"/>
      <x:c r="O188" s="40"/>
      <x:c r="P188" s="40" t="str">
        <x:f>IF(COUNT(J188:O188)=0,"",SUM(J188:O188))</x:f>
      </x:c>
      <x:c r="Q188" s="40" t="n">
        <x:v>37387224</x:v>
      </x:c>
      <x:c r="R188" s="40" t="n">
        <x:v>76334235</x:v>
      </x:c>
      <x:c r="S188" s="40" t="n">
        <x:v>239827606</x:v>
      </x:c>
      <x:c r="T188" s="40" t="n">
        <x:v>0</x:v>
      </x:c>
      <x:c r="U188" s="40" t="n">
        <x:v>96920</x:v>
      </x:c>
      <x:c r="V188" s="49" t="str">
        <x:v>宫阙3级</x:v>
      </x:c>
      <x:c r="W188" s="49" t="n">
        <x:v>1</x:v>
      </x:c>
      <x:c r="X188" s="52" t="n">
        <x:f>ROUND(100*(0.4*LN(1+Q188)/LN(1+MAX($Q$5:$Q$395))+0.35*R188/MAX($R$5:$R$395)+0.15*S188/MAX($S$5:$S$395)+IF(P188="",0,0.1*P188/MAX($P$5:$P$395)))/IF(P188="",0.9,1),1)</x:f>
        <x:v>62.9</x:v>
      </x:c>
      <x:c r="Y188" s="49" t="n">
        <x:f>RANK.EQ(X188,$X$5:$X$395,0)</x:f>
        <x:v>273</x:v>
      </x:c>
      <x:c r="Z188" s="34" t="str">
        <x:v>保持当前盟，减少迁移成本</x:v>
      </x:c>
      <x:c r="AA188" s="55" t="str">
        <x:v>六维未匹配</x:v>
      </x:c>
    </x:row>
    <x:row r="189" ht="20" customHeight="1">
      <x:c r="A189" s="46" t="n">
        <x:v>78</x:v>
      </x:c>
      <x:c r="B189" s="27" t="str">
        <x:v>战地情怀</x:v>
      </x:c>
      <x:c r="C189" s="49" t="str">
        <x:v>花晨</x:v>
      </x:c>
      <x:c r="D189" s="49" t="str">
        <x:v>花晨</x:v>
      </x:c>
      <x:c r="E189" s="49" t="str">
        <x:v>留盟</x:v>
      </x:c>
      <x:c r="F189" s="49" t="str">
        <x:v>花晨</x:v>
      </x:c>
      <x:c r="G189" s="49" t="str">
        <x:v>花晨</x:v>
      </x:c>
      <x:c r="H189" s="37" t="n">
        <x:v>23.3</x:v>
      </x:c>
      <x:c r="I189" s="37" t="n">
        <x:v>23.3</x:v>
      </x:c>
      <x:c r="J189" s="40" t="n">
        <x:v>601</x:v>
      </x:c>
      <x:c r="K189" s="40" t="n">
        <x:v>552</x:v>
      </x:c>
      <x:c r="L189" s="40" t="n">
        <x:v>547</x:v>
      </x:c>
      <x:c r="M189" s="40" t="n">
        <x:v>281</x:v>
      </x:c>
      <x:c r="N189" s="40" t="n">
        <x:v>566</x:v>
      </x:c>
      <x:c r="O189" s="40" t="n">
        <x:v>463</x:v>
      </x:c>
      <x:c r="P189" s="40" t="n">
        <x:f>IF(COUNT(J189:O189)=0,"",SUM(J189:O189))</x:f>
        <x:v>3010</x:v>
      </x:c>
      <x:c r="Q189" s="40" t="n">
        <x:v>1143049876</x:v>
      </x:c>
      <x:c r="R189" s="40" t="n">
        <x:v>65220812</x:v>
      </x:c>
      <x:c r="S189" s="40" t="n">
        <x:v>184017501</x:v>
      </x:c>
      <x:c r="T189" s="40" t="n">
        <x:v>0</x:v>
      </x:c>
      <x:c r="U189" s="40" t="n">
        <x:v>132480</x:v>
      </x:c>
      <x:c r="V189" s="49" t="str">
        <x:v>宫阙3级</x:v>
      </x:c>
      <x:c r="W189" s="49" t="n">
        <x:v>3</x:v>
      </x:c>
      <x:c r="X189" s="52" t="n">
        <x:f>ROUND(100*(0.4*LN(1+Q189)/LN(1+MAX($Q$5:$Q$395))+0.35*R189/MAX($R$5:$R$395)+0.15*S189/MAX($S$5:$S$395)+IF(P189="",0,0.1*P189/MAX($P$5:$P$395)))/IF(P189="",0.9,1),1)</x:f>
        <x:v>62.6</x:v>
      </x:c>
      <x:c r="Y189" s="49" t="n">
        <x:f>RANK.EQ(X189,$X$5:$X$395,0)</x:f>
        <x:v>275</x:v>
      </x:c>
      <x:c r="Z189" s="34" t="str">
        <x:v>保持当前盟，减少迁移成本</x:v>
      </x:c>
      <x:c r="AA189" s="55"/>
    </x:row>
    <x:row r="190" ht="20" customHeight="1">
      <x:c r="A190" s="46" t="n">
        <x:v>60</x:v>
      </x:c>
      <x:c r="B190" s="27" t="str">
        <x:v>青云山</x:v>
      </x:c>
      <x:c r="C190" s="49" t="str">
        <x:v>花晨</x:v>
      </x:c>
      <x:c r="D190" s="49" t="str">
        <x:v>花晨</x:v>
      </x:c>
      <x:c r="E190" s="49" t="str">
        <x:v>留盟</x:v>
      </x:c>
      <x:c r="F190" s="49" t="str">
        <x:v>燕云</x:v>
      </x:c>
      <x:c r="G190" s="49"/>
      <x:c r="H190" s="37"/>
      <x:c r="I190" s="37"/>
      <x:c r="J190" s="40"/>
      <x:c r="K190" s="40"/>
      <x:c r="L190" s="40"/>
      <x:c r="M190" s="40"/>
      <x:c r="N190" s="40"/>
      <x:c r="O190" s="40"/>
      <x:c r="P190" s="40" t="str">
        <x:f>IF(COUNT(J190:O190)=0,"",SUM(J190:O190))</x:f>
      </x:c>
      <x:c r="Q190" s="40" t="n">
        <x:v>2010265182</x:v>
      </x:c>
      <x:c r="R190" s="40" t="n">
        <x:v>56157616</x:v>
      </x:c>
      <x:c r="S190" s="40" t="n">
        <x:v>160153698</x:v>
      </x:c>
      <x:c r="T190" s="40" t="n">
        <x:v>0</x:v>
      </x:c>
      <x:c r="U190" s="40" t="n">
        <x:v>170400</x:v>
      </x:c>
      <x:c r="V190" s="49" t="str">
        <x:v>宫阙2级</x:v>
      </x:c>
      <x:c r="W190" s="49" t="n">
        <x:v>2</x:v>
      </x:c>
      <x:c r="X190" s="52" t="n">
        <x:f>ROUND(100*(0.4*LN(1+Q190)/LN(1+MAX($Q$5:$Q$395))+0.35*R190/MAX($R$5:$R$395)+0.15*S190/MAX($S$5:$S$395)+IF(P190="",0,0.1*P190/MAX($P$5:$P$395)))/IF(P190="",0.9,1),1)</x:f>
        <x:v>62.1</x:v>
      </x:c>
      <x:c r="Y190" s="49" t="n">
        <x:f>RANK.EQ(X190,$X$5:$X$395,0)</x:f>
        <x:v>279</x:v>
      </x:c>
      <x:c r="Z190" s="34" t="str">
        <x:v>保持当前盟，减少迁移成本</x:v>
      </x:c>
      <x:c r="AA190" s="55" t="str">
        <x:v>六维未匹配</x:v>
      </x:c>
    </x:row>
    <x:row r="191" ht="20" customHeight="1">
      <x:c r="A191" s="46" t="n">
        <x:v>96</x:v>
      </x:c>
      <x:c r="B191" s="27" t="str">
        <x:v>梦求真</x:v>
      </x:c>
      <x:c r="C191" s="49" t="str">
        <x:v>花晨</x:v>
      </x:c>
      <x:c r="D191" s="49" t="str">
        <x:v>花晨</x:v>
      </x:c>
      <x:c r="E191" s="49" t="str">
        <x:v>留盟</x:v>
      </x:c>
      <x:c r="F191" s="49" t="str">
        <x:v>玲珑</x:v>
      </x:c>
      <x:c r="G191" s="49"/>
      <x:c r="H191" s="37"/>
      <x:c r="I191" s="37"/>
      <x:c r="J191" s="40"/>
      <x:c r="K191" s="40"/>
      <x:c r="L191" s="40"/>
      <x:c r="M191" s="40"/>
      <x:c r="N191" s="40"/>
      <x:c r="O191" s="40"/>
      <x:c r="P191" s="40" t="str">
        <x:f>IF(COUNT(J191:O191)=0,"",SUM(J191:O191))</x:f>
      </x:c>
      <x:c r="Q191" s="40" t="n">
        <x:v>114684350</x:v>
      </x:c>
      <x:c r="R191" s="40" t="n">
        <x:v>70205572</x:v>
      </x:c>
      <x:c r="S191" s="40" t="n">
        <x:v>202669865</x:v>
      </x:c>
      <x:c r="T191" s="40" t="n">
        <x:v>0</x:v>
      </x:c>
      <x:c r="U191" s="40" t="n">
        <x:v>24480</x:v>
      </x:c>
      <x:c r="V191" s="49" t="str">
        <x:v>宫阙3级</x:v>
      </x:c>
      <x:c r="W191" s="49" t="n">
        <x:v>2</x:v>
      </x:c>
      <x:c r="X191" s="52" t="n">
        <x:f>ROUND(100*(0.4*LN(1+Q191)/LN(1+MAX($Q$5:$Q$395))+0.35*R191/MAX($R$5:$R$395)+0.15*S191/MAX($S$5:$S$395)+IF(P191="",0,0.1*P191/MAX($P$5:$P$395)))/IF(P191="",0.9,1),1)</x:f>
        <x:v>62</x:v>
      </x:c>
      <x:c r="Y191" s="49" t="n">
        <x:f>RANK.EQ(X191,$X$5:$X$395,0)</x:f>
        <x:v>280</x:v>
      </x:c>
      <x:c r="Z191" s="34" t="str">
        <x:v>保持当前盟，减少迁移成本</x:v>
      </x:c>
      <x:c r="AA191" s="55" t="str">
        <x:v>六维未匹配</x:v>
      </x:c>
    </x:row>
    <x:row r="192" ht="20" customHeight="1">
      <x:c r="A192" s="46" t="n">
        <x:v>73</x:v>
      </x:c>
      <x:c r="B192" s="27" t="str">
        <x:v>小草莓</x:v>
      </x:c>
      <x:c r="C192" s="49" t="str">
        <x:v>花晨</x:v>
      </x:c>
      <x:c r="D192" s="49" t="str">
        <x:v>花晨</x:v>
      </x:c>
      <x:c r="E192" s="49" t="str">
        <x:v>留盟</x:v>
      </x:c>
      <x:c r="F192" s="49" t="str">
        <x:v>花晨</x:v>
      </x:c>
      <x:c r="G192" s="49" t="str">
        <x:v>玲珑</x:v>
      </x:c>
      <x:c r="H192" s="37" t="n">
        <x:v>23.7</x:v>
      </x:c>
      <x:c r="I192" s="37" t="n">
        <x:v>23.7</x:v>
      </x:c>
      <x:c r="J192" s="40" t="n">
        <x:v>599</x:v>
      </x:c>
      <x:c r="K192" s="40" t="n">
        <x:v>450</x:v>
      </x:c>
      <x:c r="L192" s="40" t="n">
        <x:v>520</x:v>
      </x:c>
      <x:c r="M192" s="40" t="n">
        <x:v>211</x:v>
      </x:c>
      <x:c r="N192" s="40" t="n">
        <x:v>596</x:v>
      </x:c>
      <x:c r="O192" s="40" t="n">
        <x:v>465</x:v>
      </x:c>
      <x:c r="P192" s="40" t="n">
        <x:f>IF(COUNT(J192:O192)=0,"",SUM(J192:O192))</x:f>
        <x:v>2841</x:v>
      </x:c>
      <x:c r="Q192" s="40" t="n">
        <x:v>1513233280</x:v>
      </x:c>
      <x:c r="R192" s="40" t="n">
        <x:v>60847468</x:v>
      </x:c>
      <x:c r="S192" s="40" t="n">
        <x:v>185508298</x:v>
      </x:c>
      <x:c r="T192" s="40" t="n">
        <x:v>0</x:v>
      </x:c>
      <x:c r="U192" s="40" t="n">
        <x:v>54480</x:v>
      </x:c>
      <x:c r="V192" s="49" t="str">
        <x:v>宫阙3级</x:v>
      </x:c>
      <x:c r="W192" s="49" t="n">
        <x:v>3</x:v>
      </x:c>
      <x:c r="X192" s="52" t="n">
        <x:f>ROUND(100*(0.4*LN(1+Q192)/LN(1+MAX($Q$5:$Q$395))+0.35*R192/MAX($R$5:$R$395)+0.15*S192/MAX($S$5:$S$395)+IF(P192="",0,0.1*P192/MAX($P$5:$P$395)))/IF(P192="",0.9,1),1)</x:f>
        <x:v>61.8</x:v>
      </x:c>
      <x:c r="Y192" s="49" t="n">
        <x:f>RANK.EQ(X192,$X$5:$X$395,0)</x:f>
        <x:v>281</x:v>
      </x:c>
      <x:c r="Z192" s="34" t="str">
        <x:v>保持当前盟，减少迁移成本</x:v>
      </x:c>
      <x:c r="AA192" s="55"/>
    </x:row>
    <x:row r="193" ht="20" customHeight="1">
      <x:c r="A193" s="46" t="n">
        <x:v>81</x:v>
      </x:c>
      <x:c r="B193" s="27" t="str">
        <x:v>清操厉冰雪</x:v>
      </x:c>
      <x:c r="C193" s="49" t="str">
        <x:v>花晨</x:v>
      </x:c>
      <x:c r="D193" s="49" t="str">
        <x:v>花晨</x:v>
      </x:c>
      <x:c r="E193" s="49" t="str">
        <x:v>留盟</x:v>
      </x:c>
      <x:c r="F193" s="49" t="str">
        <x:v>燕云</x:v>
      </x:c>
      <x:c r="G193" s="49" t="str">
        <x:v>花晨</x:v>
      </x:c>
      <x:c r="H193" s="37" t="n">
        <x:v>23.44</x:v>
      </x:c>
      <x:c r="I193" s="37"/>
      <x:c r="J193" s="40" t="n">
        <x:v>449</x:v>
      </x:c>
      <x:c r="K193" s="40" t="n">
        <x:v>335</x:v>
      </x:c>
      <x:c r="L193" s="40" t="n">
        <x:v>541</x:v>
      </x:c>
      <x:c r="M193" s="40" t="n">
        <x:v>351</x:v>
      </x:c>
      <x:c r="N193" s="40" t="n">
        <x:v>577</x:v>
      </x:c>
      <x:c r="O193" s="40" t="n">
        <x:v>301</x:v>
      </x:c>
      <x:c r="P193" s="40" t="n">
        <x:f>IF(COUNT(J193:O193)=0,"",SUM(J193:O193))</x:f>
        <x:v>2554</x:v>
      </x:c>
      <x:c r="Q193" s="40" t="n">
        <x:v>989987758</x:v>
      </x:c>
      <x:c r="R193" s="40" t="n">
        <x:v>57154080</x:v>
      </x:c>
      <x:c r="S193" s="40" t="n">
        <x:v>171049701</x:v>
      </x:c>
      <x:c r="T193" s="40" t="n">
        <x:v>0</x:v>
      </x:c>
      <x:c r="U193" s="40" t="n">
        <x:v>123280</x:v>
      </x:c>
      <x:c r="V193" s="49" t="str">
        <x:v>宫阙2级</x:v>
      </x:c>
      <x:c r="W193" s="49" t="n">
        <x:v>2</x:v>
      </x:c>
      <x:c r="X193" s="52" t="n">
        <x:f>ROUND(100*(0.4*LN(1+Q193)/LN(1+MAX($Q$5:$Q$395))+0.35*R193/MAX($R$5:$R$395)+0.15*S193/MAX($S$5:$S$395)+IF(P193="",0,0.1*P193/MAX($P$5:$P$395)))/IF(P193="",0.9,1),1)</x:f>
        <x:v>59.2</x:v>
      </x:c>
      <x:c r="Y193" s="49" t="n">
        <x:f>RANK.EQ(X193,$X$5:$X$395,0)</x:f>
        <x:v>291</x:v>
      </x:c>
      <x:c r="Z193" s="34" t="str">
        <x:v>保持当前盟，减少迁移成本</x:v>
      </x:c>
      <x:c r="AA193" s="55"/>
    </x:row>
    <x:row r="194" ht="20" customHeight="1">
      <x:c r="A194" s="46" t="n">
        <x:v>95</x:v>
      </x:c>
      <x:c r="B194" s="27" t="str">
        <x:v>勇者归来</x:v>
      </x:c>
      <x:c r="C194" s="49" t="str">
        <x:v>花晨</x:v>
      </x:c>
      <x:c r="D194" s="49" t="str">
        <x:v>花晨</x:v>
      </x:c>
      <x:c r="E194" s="49" t="str">
        <x:v>留盟</x:v>
      </x:c>
      <x:c r="F194" s="49" t="str">
        <x:v>燕云</x:v>
      </x:c>
      <x:c r="G194" s="49"/>
      <x:c r="H194" s="37"/>
      <x:c r="I194" s="37"/>
      <x:c r="J194" s="40"/>
      <x:c r="K194" s="40"/>
      <x:c r="L194" s="40"/>
      <x:c r="M194" s="40"/>
      <x:c r="N194" s="40"/>
      <x:c r="O194" s="40"/>
      <x:c r="P194" s="40" t="str">
        <x:f>IF(COUNT(J194:O194)=0,"",SUM(J194:O194))</x:f>
      </x:c>
      <x:c r="Q194" s="40" t="n">
        <x:v>132431082</x:v>
      </x:c>
      <x:c r="R194" s="40" t="n">
        <x:v>59348536</x:v>
      </x:c>
      <x:c r="S194" s="40" t="n">
        <x:v>167402630</x:v>
      </x:c>
      <x:c r="T194" s="40" t="n">
        <x:v>0</x:v>
      </x:c>
      <x:c r="U194" s="40" t="n">
        <x:v>57840</x:v>
      </x:c>
      <x:c r="V194" s="49" t="str">
        <x:v>宫阙2级</x:v>
      </x:c>
      <x:c r="W194" s="49" t="n">
        <x:v>2</x:v>
      </x:c>
      <x:c r="X194" s="52" t="n">
        <x:f>ROUND(100*(0.4*LN(1+Q194)/LN(1+MAX($Q$5:$Q$395))+0.35*R194/MAX($R$5:$R$395)+0.15*S194/MAX($S$5:$S$395)+IF(P194="",0,0.1*P194/MAX($P$5:$P$395)))/IF(P194="",0.9,1),1)</x:f>
        <x:v>58</x:v>
      </x:c>
      <x:c r="Y194" s="49" t="n">
        <x:f>RANK.EQ(X194,$X$5:$X$395,0)</x:f>
        <x:v>295</x:v>
      </x:c>
      <x:c r="Z194" s="34" t="str">
        <x:v>保持当前盟，减少迁移成本</x:v>
      </x:c>
      <x:c r="AA194" s="55" t="str">
        <x:v>六维未匹配</x:v>
      </x:c>
    </x:row>
    <x:row r="195" ht="20" customHeight="1">
      <x:c r="A195" s="46" t="n">
        <x:v>94</x:v>
      </x:c>
      <x:c r="B195" s="27" t="str">
        <x:v>月亮山的喵喵</x:v>
      </x:c>
      <x:c r="C195" s="49" t="str">
        <x:v>花晨</x:v>
      </x:c>
      <x:c r="D195" s="49" t="str">
        <x:v>花晨</x:v>
      </x:c>
      <x:c r="E195" s="49" t="str">
        <x:v>留盟</x:v>
      </x:c>
      <x:c r="F195" s="49" t="str">
        <x:v>燕云</x:v>
      </x:c>
      <x:c r="G195" s="49"/>
      <x:c r="H195" s="37"/>
      <x:c r="I195" s="37"/>
      <x:c r="J195" s="40"/>
      <x:c r="K195" s="40"/>
      <x:c r="L195" s="40"/>
      <x:c r="M195" s="40"/>
      <x:c r="N195" s="40"/>
      <x:c r="O195" s="40"/>
      <x:c r="P195" s="40" t="str">
        <x:f>IF(COUNT(J195:O195)=0,"",SUM(J195:O195))</x:f>
      </x:c>
      <x:c r="Q195" s="40" t="n">
        <x:v>146178894</x:v>
      </x:c>
      <x:c r="R195" s="40" t="n">
        <x:v>49433495</x:v>
      </x:c>
      <x:c r="S195" s="40" t="n">
        <x:v>112576232</x:v>
      </x:c>
      <x:c r="T195" s="40" t="n">
        <x:v>0</x:v>
      </x:c>
      <x:c r="U195" s="40" t="n">
        <x:v>91920</x:v>
      </x:c>
      <x:c r="V195" s="49" t="str">
        <x:v>宫阙1级</x:v>
      </x:c>
      <x:c r="W195" s="49" t="n">
        <x:v>2</x:v>
      </x:c>
      <x:c r="X195" s="52" t="n">
        <x:f>ROUND(100*(0.4*LN(1+Q195)/LN(1+MAX($Q$5:$Q$395))+0.35*R195/MAX($R$5:$R$395)+0.15*S195/MAX($S$5:$S$395)+IF(P195="",0,0.1*P195/MAX($P$5:$P$395)))/IF(P195="",0.9,1),1)</x:f>
        <x:v>53.6</x:v>
      </x:c>
      <x:c r="Y195" s="49" t="n">
        <x:f>RANK.EQ(X195,$X$5:$X$395,0)</x:f>
        <x:v>301</x:v>
      </x:c>
      <x:c r="Z195" s="34" t="str">
        <x:v>保持当前盟，减少迁移成本</x:v>
      </x:c>
      <x:c r="AA195" s="55" t="str">
        <x:v>六维未匹配</x:v>
      </x:c>
    </x:row>
    <x:row r="196" ht="20" customHeight="1">
      <x:c r="A196" s="46" t="n">
        <x:v>100</x:v>
      </x:c>
      <x:c r="B196" s="27" t="str">
        <x:v>粉扑扑</x:v>
      </x:c>
      <x:c r="C196" s="49" t="str">
        <x:v>花晨</x:v>
      </x:c>
      <x:c r="D196" s="49" t="str">
        <x:v>花晨</x:v>
      </x:c>
      <x:c r="E196" s="49" t="str">
        <x:v>留盟</x:v>
      </x:c>
      <x:c r="F196" s="49" t="str">
        <x:v>花晨</x:v>
      </x:c>
      <x:c r="G196" s="49"/>
      <x:c r="H196" s="37"/>
      <x:c r="I196" s="37"/>
      <x:c r="J196" s="40"/>
      <x:c r="K196" s="40"/>
      <x:c r="L196" s="40"/>
      <x:c r="M196" s="40"/>
      <x:c r="N196" s="40"/>
      <x:c r="O196" s="40"/>
      <x:c r="P196" s="40" t="str">
        <x:f>IF(COUNT(J196:O196)=0,"",SUM(J196:O196))</x:f>
      </x:c>
      <x:c r="Q196" s="40" t="n">
        <x:v>0</x:v>
      </x:c>
      <x:c r="R196" s="40" t="n">
        <x:v>68869401</x:v>
      </x:c>
      <x:c r="S196" s="40" t="n">
        <x:v>176679137</x:v>
      </x:c>
      <x:c r="T196" s="40" t="n">
        <x:v>0</x:v>
      </x:c>
      <x:c r="U196" s="40" t="n">
        <x:v>65040</x:v>
      </x:c>
      <x:c r="V196" s="49" t="str">
        <x:v>宫阙2级</x:v>
      </x:c>
      <x:c r="W196" s="49" t="n">
        <x:v>3</x:v>
      </x:c>
      <x:c r="X196" s="52" t="n">
        <x:f>ROUND(100*(0.4*LN(1+Q196)/LN(1+MAX($Q$5:$Q$395))+0.35*R196/MAX($R$5:$R$395)+0.15*S196/MAX($S$5:$S$395)+IF(P196="",0,0.1*P196/MAX($P$5:$P$395)))/IF(P196="",0.9,1),1)</x:f>
        <x:v>25.5</x:v>
      </x:c>
      <x:c r="Y196" s="49" t="n">
        <x:f>RANK.EQ(X196,$X$5:$X$395,0)</x:f>
        <x:v>317</x:v>
      </x:c>
      <x:c r="Z196" s="34" t="str">
        <x:v>保持当前盟，减少迁移成本</x:v>
      </x:c>
      <x:c r="AA196" s="55" t="str">
        <x:v>六维未匹配</x:v>
      </x:c>
    </x:row>
    <x:row r="197" ht="20" customHeight="1">
      <x:c r="A197" s="46" t="n">
        <x:v>98</x:v>
      </x:c>
      <x:c r="B197" s="27" t="str">
        <x:v>骑行者</x:v>
      </x:c>
      <x:c r="C197" s="49" t="str">
        <x:v>花晨</x:v>
      </x:c>
      <x:c r="D197" s="49" t="str">
        <x:v>花晨</x:v>
      </x:c>
      <x:c r="E197" s="49" t="str">
        <x:v>留盟</x:v>
      </x:c>
      <x:c r="F197" s="49" t="str">
        <x:v>燕云</x:v>
      </x:c>
      <x:c r="G197" s="49"/>
      <x:c r="H197" s="37"/>
      <x:c r="I197" s="37"/>
      <x:c r="J197" s="40"/>
      <x:c r="K197" s="40"/>
      <x:c r="L197" s="40"/>
      <x:c r="M197" s="40"/>
      <x:c r="N197" s="40"/>
      <x:c r="O197" s="40"/>
      <x:c r="P197" s="40" t="str">
        <x:f>IF(COUNT(J197:O197)=0,"",SUM(J197:O197))</x:f>
      </x:c>
      <x:c r="Q197" s="40" t="n">
        <x:v>0</x:v>
      </x:c>
      <x:c r="R197" s="40" t="n">
        <x:v>70245696</x:v>
      </x:c>
      <x:c r="S197" s="40" t="n">
        <x:v>155084722</x:v>
      </x:c>
      <x:c r="T197" s="40" t="n">
        <x:v>0</x:v>
      </x:c>
      <x:c r="U197" s="40" t="n">
        <x:v>128640</x:v>
      </x:c>
      <x:c r="V197" s="49" t="str">
        <x:v>宫阙2级</x:v>
      </x:c>
      <x:c r="W197" s="49" t="n">
        <x:v>2</x:v>
      </x:c>
      <x:c r="X197" s="52" t="n">
        <x:f>ROUND(100*(0.4*LN(1+Q197)/LN(1+MAX($Q$5:$Q$395))+0.35*R197/MAX($R$5:$R$395)+0.15*S197/MAX($S$5:$S$395)+IF(P197="",0,0.1*P197/MAX($P$5:$P$395)))/IF(P197="",0.9,1),1)</x:f>
        <x:v>25.2</x:v>
      </x:c>
      <x:c r="Y197" s="49" t="n">
        <x:f>RANK.EQ(X197,$X$5:$X$395,0)</x:f>
        <x:v>318</x:v>
      </x:c>
      <x:c r="Z197" s="34" t="str">
        <x:v>保持当前盟，减少迁移成本</x:v>
      </x:c>
      <x:c r="AA197" s="55" t="str">
        <x:v>六维未匹配</x:v>
      </x:c>
    </x:row>
    <x:row r="198" ht="20" customHeight="1">
      <x:c r="A198" s="46" t="n">
        <x:v>99</x:v>
      </x:c>
      <x:c r="B198" s="27" t="str">
        <x:v>春机盎然</x:v>
      </x:c>
      <x:c r="C198" s="49" t="str">
        <x:v>花晨</x:v>
      </x:c>
      <x:c r="D198" s="49" t="str">
        <x:v>花晨</x:v>
      </x:c>
      <x:c r="E198" s="49" t="str">
        <x:v>留盟</x:v>
      </x:c>
      <x:c r="F198" s="49" t="str">
        <x:v>燕云</x:v>
      </x:c>
      <x:c r="G198" s="49"/>
      <x:c r="H198" s="37"/>
      <x:c r="I198" s="37"/>
      <x:c r="J198" s="40"/>
      <x:c r="K198" s="40"/>
      <x:c r="L198" s="40"/>
      <x:c r="M198" s="40"/>
      <x:c r="N198" s="40"/>
      <x:c r="O198" s="40"/>
      <x:c r="P198" s="40" t="str">
        <x:f>IF(COUNT(J198:O198)=0,"",SUM(J198:O198))</x:f>
      </x:c>
      <x:c r="Q198" s="40" t="n">
        <x:v>0</x:v>
      </x:c>
      <x:c r="R198" s="40" t="n">
        <x:v>59686928</x:v>
      </x:c>
      <x:c r="S198" s="40" t="n">
        <x:v>171457828</x:v>
      </x:c>
      <x:c r="T198" s="40" t="n">
        <x:v>0</x:v>
      </x:c>
      <x:c r="U198" s="40" t="n">
        <x:v>68880</x:v>
      </x:c>
      <x:c r="V198" s="49" t="str">
        <x:v>宫阙2级</x:v>
      </x:c>
      <x:c r="W198" s="49" t="n">
        <x:v>2</x:v>
      </x:c>
      <x:c r="X198" s="52" t="n">
        <x:f>ROUND(100*(0.4*LN(1+Q198)/LN(1+MAX($Q$5:$Q$395))+0.35*R198/MAX($R$5:$R$395)+0.15*S198/MAX($S$5:$S$395)+IF(P198="",0,0.1*P198/MAX($P$5:$P$395)))/IF(P198="",0.9,1),1)</x:f>
        <x:v>22.7</x:v>
      </x:c>
      <x:c r="Y198" s="49" t="n">
        <x:f>RANK.EQ(X198,$X$5:$X$395,0)</x:f>
        <x:v>320</x:v>
      </x:c>
      <x:c r="Z198" s="34" t="str">
        <x:v>保持当前盟，减少迁移成本</x:v>
      </x:c>
      <x:c r="AA198" s="55" t="str">
        <x:v>六维未匹配</x:v>
      </x:c>
    </x:row>
    <x:row r="199" ht="20" customHeight="1">
      <x:c r="A199" s="46" t="n">
        <x:v>114</x:v>
      </x:c>
      <x:c r="B199" s="27" t="str">
        <x:v>大混混</x:v>
      </x:c>
      <x:c r="C199" s="49" t="str">
        <x:v>玲珑</x:v>
      </x:c>
      <x:c r="D199" s="49" t="str">
        <x:v>玲珑</x:v>
      </x:c>
      <x:c r="E199" s="49" t="str">
        <x:v>留盟</x:v>
      </x:c>
      <x:c r="F199" s="49" t="str"/>
      <x:c r="G199" s="49"/>
      <x:c r="H199" s="37"/>
      <x:c r="I199" s="37"/>
      <x:c r="J199" s="40" t="n">
        <x:v>804</x:v>
      </x:c>
      <x:c r="K199" s="40" t="n">
        <x:v>1027</x:v>
      </x:c>
      <x:c r="L199" s="40" t="n">
        <x:v>721</x:v>
      </x:c>
      <x:c r="M199" s="40" t="n">
        <x:v>762</x:v>
      </x:c>
      <x:c r="N199" s="40" t="n">
        <x:v>727</x:v>
      </x:c>
      <x:c r="O199" s="40" t="n">
        <x:v>946</x:v>
      </x:c>
      <x:c r="P199" s="40" t="n">
        <x:f>IF(COUNT(J199:O199)=0,"",SUM(J199:O199))</x:f>
        <x:v>4987</x:v>
      </x:c>
      <x:c r="Q199" s="40" t="n">
        <x:v>5474228434</x:v>
      </x:c>
      <x:c r="R199" s="40" t="n">
        <x:v>110045882</x:v>
      </x:c>
      <x:c r="S199" s="40" t="n">
        <x:v>370988132</x:v>
      </x:c>
      <x:c r="T199" s="40" t="n">
        <x:v>0</x:v>
      </x:c>
      <x:c r="U199" s="40" t="n">
        <x:v>102440</x:v>
      </x:c>
      <x:c r="V199" s="49" t="str">
        <x:v>宫阙3级</x:v>
      </x:c>
      <x:c r="W199" s="49" t="n">
        <x:v>3</x:v>
      </x:c>
      <x:c r="X199" s="52" t="n">
        <x:f>ROUND(100*(0.4*LN(1+Q199)/LN(1+MAX($Q$5:$Q$395))+0.35*R199/MAX($R$5:$R$395)+0.15*S199/MAX($S$5:$S$395)+IF(P199="",0,0.1*P199/MAX($P$5:$P$395)))/IF(P199="",0.9,1),1)</x:f>
        <x:v>85.4</x:v>
      </x:c>
      <x:c r="Y199" s="49" t="n">
        <x:f>RANK.EQ(X199,$X$5:$X$395,0)</x:f>
        <x:v>16</x:v>
      </x:c>
      <x:c r="Z199" s="34" t="str">
        <x:v>保持当前盟，减少迁移成本</x:v>
      </x:c>
      <x:c r="AA199" s="55"/>
    </x:row>
    <x:row r="200" ht="20" customHeight="1">
      <x:c r="A200" s="46" t="n">
        <x:v>107</x:v>
      </x:c>
      <x:c r="B200" s="27" t="str">
        <x:v>二麻爱争锋</x:v>
      </x:c>
      <x:c r="C200" s="49" t="str">
        <x:v>玲珑</x:v>
      </x:c>
      <x:c r="D200" s="49" t="str">
        <x:v>玲珑</x:v>
      </x:c>
      <x:c r="E200" s="49" t="str">
        <x:v>留盟</x:v>
      </x:c>
      <x:c r="F200" s="49" t="str"/>
      <x:c r="G200" s="49" t="str">
        <x:v>花晨</x:v>
      </x:c>
      <x:c r="H200" s="37" t="n">
        <x:v>28.8</x:v>
      </x:c>
      <x:c r="I200" s="37" t="n">
        <x:v>25.8</x:v>
      </x:c>
      <x:c r="J200" s="40" t="n">
        <x:v>888</x:v>
      </x:c>
      <x:c r="K200" s="40" t="n">
        <x:v>1025</x:v>
      </x:c>
      <x:c r="L200" s="40" t="n">
        <x:v>745</x:v>
      </x:c>
      <x:c r="M200" s="40" t="n">
        <x:v>691</x:v>
      </x:c>
      <x:c r="N200" s="40" t="n">
        <x:v>797</x:v>
      </x:c>
      <x:c r="O200" s="40" t="n">
        <x:v>923</x:v>
      </x:c>
      <x:c r="P200" s="40" t="n">
        <x:f>IF(COUNT(J200:O200)=0,"",SUM(J200:O200))</x:f>
        <x:v>5069</x:v>
      </x:c>
      <x:c r="Q200" s="40" t="n">
        <x:v>6210699586</x:v>
      </x:c>
      <x:c r="R200" s="40" t="n">
        <x:v>108415987</x:v>
      </x:c>
      <x:c r="S200" s="40" t="n">
        <x:v>332497375</x:v>
      </x:c>
      <x:c r="T200" s="40" t="n">
        <x:v>0</x:v>
      </x:c>
      <x:c r="U200" s="40" t="n">
        <x:v>60000</x:v>
      </x:c>
      <x:c r="V200" s="49" t="str">
        <x:v>宫阙3级</x:v>
      </x:c>
      <x:c r="W200" s="49" t="n">
        <x:v>3</x:v>
      </x:c>
      <x:c r="X200" s="52" t="n">
        <x:f>ROUND(100*(0.4*LN(1+Q200)/LN(1+MAX($Q$5:$Q$395))+0.35*R200/MAX($R$5:$R$395)+0.15*S200/MAX($S$5:$S$395)+IF(P200="",0,0.1*P200/MAX($P$5:$P$395)))/IF(P200="",0.9,1),1)</x:f>
        <x:v>84.2</x:v>
      </x:c>
      <x:c r="Y200" s="49" t="n">
        <x:f>RANK.EQ(X200,$X$5:$X$395,0)</x:f>
        <x:v>22</x:v>
      </x:c>
      <x:c r="Z200" s="34" t="str">
        <x:v>保持当前盟，减少迁移成本</x:v>
      </x:c>
      <x:c r="AA200" s="55"/>
    </x:row>
    <x:row r="201" ht="20" customHeight="1">
      <x:c r="A201" s="46" t="n">
        <x:v>127</x:v>
      </x:c>
      <x:c r="B201" s="27" t="str">
        <x:v>捏泥人的破丸</x:v>
      </x:c>
      <x:c r="C201" s="49" t="str">
        <x:v>玲珑</x:v>
      </x:c>
      <x:c r="D201" s="49" t="str">
        <x:v>玲珑</x:v>
      </x:c>
      <x:c r="E201" s="49" t="str">
        <x:v>留盟</x:v>
      </x:c>
      <x:c r="F201" s="49" t="str"/>
      <x:c r="G201" s="49" t="str">
        <x:v>花晨</x:v>
      </x:c>
      <x:c r="H201" s="37" t="n">
        <x:v>28</x:v>
      </x:c>
      <x:c r="I201" s="37" t="n">
        <x:v>21.6</x:v>
      </x:c>
      <x:c r="J201" s="40" t="n">
        <x:v>843</x:v>
      </x:c>
      <x:c r="K201" s="40" t="n">
        <x:v>985</x:v>
      </x:c>
      <x:c r="L201" s="40" t="n">
        <x:v>724</x:v>
      </x:c>
      <x:c r="M201" s="40" t="n">
        <x:v>831</x:v>
      </x:c>
      <x:c r="N201" s="40" t="n">
        <x:v>844</x:v>
      </x:c>
      <x:c r="O201" s="40" t="n">
        <x:v>904</x:v>
      </x:c>
      <x:c r="P201" s="40" t="n">
        <x:f>IF(COUNT(J201:O201)=0,"",SUM(J201:O201))</x:f>
        <x:v>5131</x:v>
      </x:c>
      <x:c r="Q201" s="40" t="n">
        <x:v>3723973416</x:v>
      </x:c>
      <x:c r="R201" s="40" t="n">
        <x:v>104665400</x:v>
      </x:c>
      <x:c r="S201" s="40" t="n">
        <x:v>330404897</x:v>
      </x:c>
      <x:c r="T201" s="40" t="n">
        <x:v>0</x:v>
      </x:c>
      <x:c r="U201" s="40" t="n">
        <x:v>101920</x:v>
      </x:c>
      <x:c r="V201" s="49" t="str">
        <x:v>宫阙3级</x:v>
      </x:c>
      <x:c r="W201" s="49" t="n">
        <x:v>3</x:v>
      </x:c>
      <x:c r="X201" s="52" t="n">
        <x:f>ROUND(100*(0.4*LN(1+Q201)/LN(1+MAX($Q$5:$Q$395))+0.35*R201/MAX($R$5:$R$395)+0.15*S201/MAX($S$5:$S$395)+IF(P201="",0,0.1*P201/MAX($P$5:$P$395)))/IF(P201="",0.9,1),1)</x:f>
        <x:v>82.4</x:v>
      </x:c>
      <x:c r="Y201" s="49" t="n">
        <x:f>RANK.EQ(X201,$X$5:$X$395,0)</x:f>
        <x:v>30</x:v>
      </x:c>
      <x:c r="Z201" s="34" t="str">
        <x:v>保持当前盟，减少迁移成本</x:v>
      </x:c>
      <x:c r="AA201" s="55"/>
    </x:row>
    <x:row r="202" ht="20" customHeight="1">
      <x:c r="A202" s="46" t="n">
        <x:v>108</x:v>
      </x:c>
      <x:c r="B202" s="27" t="str">
        <x:v>繁华丶落幕</x:v>
      </x:c>
      <x:c r="C202" s="49" t="str">
        <x:v>玲珑</x:v>
      </x:c>
      <x:c r="D202" s="49" t="str">
        <x:v>玲珑</x:v>
      </x:c>
      <x:c r="E202" s="49" t="str">
        <x:v>留盟</x:v>
      </x:c>
      <x:c r="F202" s="49" t="str"/>
      <x:c r="G202" s="49"/>
      <x:c r="H202" s="37" t="n">
        <x:v>26.5</x:v>
      </x:c>
      <x:c r="I202" s="37" t="n">
        <x:v>22.5</x:v>
      </x:c>
      <x:c r="J202" s="40" t="n">
        <x:v>870</x:v>
      </x:c>
      <x:c r="K202" s="40" t="n">
        <x:v>900</x:v>
      </x:c>
      <x:c r="L202" s="40" t="n">
        <x:v>710</x:v>
      </x:c>
      <x:c r="M202" s="40" t="n">
        <x:v>650</x:v>
      </x:c>
      <x:c r="N202" s="40" t="n">
        <x:v>730</x:v>
      </x:c>
      <x:c r="O202" s="40" t="n">
        <x:v>900</x:v>
      </x:c>
      <x:c r="P202" s="40" t="n">
        <x:f>IF(COUNT(J202:O202)=0,"",SUM(J202:O202))</x:f>
        <x:v>4760</x:v>
      </x:c>
      <x:c r="Q202" s="40" t="n">
        <x:v>6054166868</x:v>
      </x:c>
      <x:c r="R202" s="40" t="n">
        <x:v>97999214</x:v>
      </x:c>
      <x:c r="S202" s="40" t="n">
        <x:v>367015612</x:v>
      </x:c>
      <x:c r="T202" s="40" t="n">
        <x:v>0</x:v>
      </x:c>
      <x:c r="U202" s="40" t="n">
        <x:v>62880</x:v>
      </x:c>
      <x:c r="V202" s="49" t="str">
        <x:v>宫阙3级</x:v>
      </x:c>
      <x:c r="W202" s="49" t="n">
        <x:v>3</x:v>
      </x:c>
      <x:c r="X202" s="52" t="n">
        <x:f>ROUND(100*(0.4*LN(1+Q202)/LN(1+MAX($Q$5:$Q$395))+0.35*R202/MAX($R$5:$R$395)+0.15*S202/MAX($S$5:$S$395)+IF(P202="",0,0.1*P202/MAX($P$5:$P$395)))/IF(P202="",0.9,1),1)</x:f>
        <x:v>82</x:v>
      </x:c>
      <x:c r="Y202" s="49" t="n">
        <x:f>RANK.EQ(X202,$X$5:$X$395,0)</x:f>
        <x:v>33</x:v>
      </x:c>
      <x:c r="Z202" s="34" t="str">
        <x:v>保持当前盟，减少迁移成本</x:v>
      </x:c>
      <x:c r="AA202" s="55"/>
    </x:row>
    <x:row r="203" ht="20" customHeight="1">
      <x:c r="A203" s="46" t="n">
        <x:v>139</x:v>
      </x:c>
      <x:c r="B203" s="27" t="str">
        <x:v>孤独的风</x:v>
      </x:c>
      <x:c r="C203" s="49" t="str">
        <x:v>玲珑</x:v>
      </x:c>
      <x:c r="D203" s="49" t="str">
        <x:v>玲珑</x:v>
      </x:c>
      <x:c r="E203" s="49" t="str">
        <x:v>留盟</x:v>
      </x:c>
      <x:c r="F203" s="49" t="str"/>
      <x:c r="G203" s="49"/>
      <x:c r="H203" s="37"/>
      <x:c r="I203" s="37"/>
      <x:c r="J203" s="40"/>
      <x:c r="K203" s="40"/>
      <x:c r="L203" s="40"/>
      <x:c r="M203" s="40"/>
      <x:c r="N203" s="40"/>
      <x:c r="O203" s="40"/>
      <x:c r="P203" s="40" t="str">
        <x:f>IF(COUNT(J203:O203)=0,"",SUM(J203:O203))</x:f>
      </x:c>
      <x:c r="Q203" s="40" t="n">
        <x:v>2238393436</x:v>
      </x:c>
      <x:c r="R203" s="40" t="n">
        <x:v>96363071</x:v>
      </x:c>
      <x:c r="S203" s="40" t="n">
        <x:v>336584015</x:v>
      </x:c>
      <x:c r="T203" s="40" t="n">
        <x:v>0</x:v>
      </x:c>
      <x:c r="U203" s="40" t="n">
        <x:v>41040</x:v>
      </x:c>
      <x:c r="V203" s="49" t="str">
        <x:v>宫阙3级</x:v>
      </x:c>
      <x:c r="W203" s="49" t="n">
        <x:v>3</x:v>
      </x:c>
      <x:c r="X203" s="52" t="n">
        <x:f>ROUND(100*(0.4*LN(1+Q203)/LN(1+MAX($Q$5:$Q$395))+0.35*R203/MAX($R$5:$R$395)+0.15*S203/MAX($S$5:$S$395)+IF(P203="",0,0.1*P203/MAX($P$5:$P$395)))/IF(P203="",0.9,1),1)</x:f>
        <x:v>79.5</x:v>
      </x:c>
      <x:c r="Y203" s="49" t="n">
        <x:f>RANK.EQ(X203,$X$5:$X$395,0)</x:f>
        <x:v>42</x:v>
      </x:c>
      <x:c r="Z203" s="34" t="str">
        <x:v>保持当前盟，减少迁移成本</x:v>
      </x:c>
      <x:c r="AA203" s="55" t="str">
        <x:v>六维未匹配</x:v>
      </x:c>
    </x:row>
    <x:row r="204" ht="20" customHeight="1">
      <x:c r="A204" s="46" t="n">
        <x:v>151</x:v>
      </x:c>
      <x:c r="B204" s="27" t="str">
        <x:v>魔鬼胡安</x:v>
      </x:c>
      <x:c r="C204" s="49" t="str">
        <x:v>玲珑</x:v>
      </x:c>
      <x:c r="D204" s="49" t="str">
        <x:v>玲珑</x:v>
      </x:c>
      <x:c r="E204" s="49" t="str">
        <x:v>留盟</x:v>
      </x:c>
      <x:c r="F204" s="49" t="str"/>
      <x:c r="G204" s="49" t="str">
        <x:v>兰亭</x:v>
      </x:c>
      <x:c r="H204" s="37" t="n">
        <x:v>28.4</x:v>
      </x:c>
      <x:c r="I204" s="37" t="n">
        <x:v>28.4</x:v>
      </x:c>
      <x:c r="J204" s="40" t="n">
        <x:v>800</x:v>
      </x:c>
      <x:c r="K204" s="40" t="n">
        <x:v>1000</x:v>
      </x:c>
      <x:c r="L204" s="40" t="n">
        <x:v>600</x:v>
      </x:c>
      <x:c r="M204" s="40" t="n">
        <x:v>600</x:v>
      </x:c>
      <x:c r="N204" s="40" t="n">
        <x:v>700</x:v>
      </x:c>
      <x:c r="O204" s="40" t="n">
        <x:v>800</x:v>
      </x:c>
      <x:c r="P204" s="40" t="n">
        <x:f>IF(COUNT(J204:O204)=0,"",SUM(J204:O204))</x:f>
        <x:v>4500</x:v>
      </x:c>
      <x:c r="Q204" s="40" t="n">
        <x:v>1577399658</x:v>
      </x:c>
      <x:c r="R204" s="40" t="n">
        <x:v>98809832</x:v>
      </x:c>
      <x:c r="S204" s="40" t="n">
        <x:v>340450858</x:v>
      </x:c>
      <x:c r="T204" s="40" t="n">
        <x:v>0</x:v>
      </x:c>
      <x:c r="U204" s="40" t="n">
        <x:v>75280</x:v>
      </x:c>
      <x:c r="V204" s="49" t="str">
        <x:v>宫阙3级</x:v>
      </x:c>
      <x:c r="W204" s="49" t="n">
        <x:v>3</x:v>
      </x:c>
      <x:c r="X204" s="52" t="n">
        <x:f>ROUND(100*(0.4*LN(1+Q204)/LN(1+MAX($Q$5:$Q$395))+0.35*R204/MAX($R$5:$R$395)+0.15*S204/MAX($S$5:$S$395)+IF(P204="",0,0.1*P204/MAX($P$5:$P$395)))/IF(P204="",0.9,1),1)</x:f>
        <x:v>78.8</x:v>
      </x:c>
      <x:c r="Y204" s="49" t="n">
        <x:f>RANK.EQ(X204,$X$5:$X$395,0)</x:f>
        <x:v>45</x:v>
      </x:c>
      <x:c r="Z204" s="34" t="str">
        <x:v>保持当前盟，减少迁移成本</x:v>
      </x:c>
      <x:c r="AA204" s="55"/>
    </x:row>
    <x:row r="205" ht="20" customHeight="1">
      <x:c r="A205" s="46" t="n">
        <x:v>174</x:v>
      </x:c>
      <x:c r="B205" s="27" t="str">
        <x:v>小范大人</x:v>
      </x:c>
      <x:c r="C205" s="49" t="str">
        <x:v>玲珑</x:v>
      </x:c>
      <x:c r="D205" s="49" t="str">
        <x:v>玲珑</x:v>
      </x:c>
      <x:c r="E205" s="49" t="str">
        <x:v>留盟</x:v>
      </x:c>
      <x:c r="F205" s="49" t="str"/>
      <x:c r="G205" s="49" t="str">
        <x:v>兰亭</x:v>
      </x:c>
      <x:c r="H205" s="37" t="n">
        <x:v>29.1</x:v>
      </x:c>
      <x:c r="I205" s="37" t="n">
        <x:v>29.1</x:v>
      </x:c>
      <x:c r="J205" s="40" t="n">
        <x:v>723</x:v>
      </x:c>
      <x:c r="K205" s="40" t="n">
        <x:v>738</x:v>
      </x:c>
      <x:c r="L205" s="40" t="n">
        <x:v>702</x:v>
      </x:c>
      <x:c r="M205" s="40" t="n">
        <x:v>620</x:v>
      </x:c>
      <x:c r="N205" s="40" t="n">
        <x:v>726</x:v>
      </x:c>
      <x:c r="O205" s="40" t="n">
        <x:v>692</x:v>
      </x:c>
      <x:c r="P205" s="40" t="n">
        <x:f>IF(COUNT(J205:O205)=0,"",SUM(J205:O205))</x:f>
        <x:v>4201</x:v>
      </x:c>
      <x:c r="Q205" s="40" t="n">
        <x:v>343068616</x:v>
      </x:c>
      <x:c r="R205" s="40" t="n">
        <x:v>105857103</x:v>
      </x:c>
      <x:c r="S205" s="40" t="n">
        <x:v>379263241</x:v>
      </x:c>
      <x:c r="T205" s="40" t="n">
        <x:v>0</x:v>
      </x:c>
      <x:c r="U205" s="40" t="n">
        <x:v>82240</x:v>
      </x:c>
      <x:c r="V205" s="49" t="str">
        <x:v>宫阙3级</x:v>
      </x:c>
      <x:c r="W205" s="49" t="n">
        <x:v>3</x:v>
      </x:c>
      <x:c r="X205" s="52" t="n">
        <x:f>ROUND(100*(0.4*LN(1+Q205)/LN(1+MAX($Q$5:$Q$395))+0.35*R205/MAX($R$5:$R$395)+0.15*S205/MAX($S$5:$S$395)+IF(P205="",0,0.1*P205/MAX($P$5:$P$395)))/IF(P205="",0.9,1),1)</x:f>
        <x:v>78.6</x:v>
      </x:c>
      <x:c r="Y205" s="49" t="n">
        <x:f>RANK.EQ(X205,$X$5:$X$395,0)</x:f>
        <x:v>49</x:v>
      </x:c>
      <x:c r="Z205" s="34" t="str">
        <x:v>保持当前盟，减少迁移成本</x:v>
      </x:c>
      <x:c r="AA205" s="55"/>
    </x:row>
    <x:row r="206" ht="20" customHeight="1">
      <x:c r="A206" s="46" t="n">
        <x:v>101</x:v>
      </x:c>
      <x:c r="B206" s="27" t="str">
        <x:v>兮兮妹</x:v>
      </x:c>
      <x:c r="C206" s="49" t="str">
        <x:v>玲珑</x:v>
      </x:c>
      <x:c r="D206" s="49" t="str">
        <x:v>玲珑</x:v>
      </x:c>
      <x:c r="E206" s="49" t="str">
        <x:v>留盟</x:v>
      </x:c>
      <x:c r="F206" s="49" t="str"/>
      <x:c r="G206" s="49" t="str">
        <x:v>兰亭</x:v>
      </x:c>
      <x:c r="H206" s="37" t="n">
        <x:v>25.8</x:v>
      </x:c>
      <x:c r="I206" s="37" t="n">
        <x:v>25.8</x:v>
      </x:c>
      <x:c r="J206" s="40" t="n">
        <x:v>675</x:v>
      </x:c>
      <x:c r="K206" s="40" t="n">
        <x:v>850</x:v>
      </x:c>
      <x:c r="L206" s="40" t="n">
        <x:v>650</x:v>
      </x:c>
      <x:c r="M206" s="40" t="n">
        <x:v>450</x:v>
      </x:c>
      <x:c r="N206" s="40" t="n">
        <x:v>750</x:v>
      </x:c>
      <x:c r="O206" s="40" t="n">
        <x:v>610</x:v>
      </x:c>
      <x:c r="P206" s="40" t="n">
        <x:f>IF(COUNT(J206:O206)=0,"",SUM(J206:O206))</x:f>
        <x:v>3985</x:v>
      </x:c>
      <x:c r="Q206" s="40" t="n">
        <x:v>8940166634</x:v>
      </x:c>
      <x:c r="R206" s="40" t="n">
        <x:v>87108703</x:v>
      </x:c>
      <x:c r="S206" s="40" t="n">
        <x:v>331429614</x:v>
      </x:c>
      <x:c r="T206" s="40" t="n">
        <x:v>0</x:v>
      </x:c>
      <x:c r="U206" s="40" t="n">
        <x:v>69720</x:v>
      </x:c>
      <x:c r="V206" s="49" t="str">
        <x:v>宫阙3级</x:v>
      </x:c>
      <x:c r="W206" s="49" t="n">
        <x:v>3</x:v>
      </x:c>
      <x:c r="X206" s="52" t="n">
        <x:f>ROUND(100*(0.4*LN(1+Q206)/LN(1+MAX($Q$5:$Q$395))+0.35*R206/MAX($R$5:$R$395)+0.15*S206/MAX($S$5:$S$395)+IF(P206="",0,0.1*P206/MAX($P$5:$P$395)))/IF(P206="",0.9,1),1)</x:f>
        <x:v>77.6</x:v>
      </x:c>
      <x:c r="Y206" s="49" t="n">
        <x:f>RANK.EQ(X206,$X$5:$X$395,0)</x:f>
        <x:v>61</x:v>
      </x:c>
      <x:c r="Z206" s="34" t="str">
        <x:v>保持当前盟，减少迁移成本</x:v>
      </x:c>
      <x:c r="AA206" s="55"/>
    </x:row>
    <x:row r="207" ht="20" customHeight="1">
      <x:c r="A207" s="46" t="n">
        <x:v>131</x:v>
      </x:c>
      <x:c r="B207" s="27" t="str">
        <x:v>酒酿柠檬茶</x:v>
      </x:c>
      <x:c r="C207" s="49" t="str">
        <x:v>玲珑</x:v>
      </x:c>
      <x:c r="D207" s="49" t="str">
        <x:v>玲珑</x:v>
      </x:c>
      <x:c r="E207" s="49" t="str">
        <x:v>留盟</x:v>
      </x:c>
      <x:c r="F207" s="49" t="str"/>
      <x:c r="G207" s="49" t="str">
        <x:v>兰亭</x:v>
      </x:c>
      <x:c r="H207" s="37" t="n">
        <x:v>28.8</x:v>
      </x:c>
      <x:c r="I207" s="37" t="n">
        <x:v>28.8</x:v>
      </x:c>
      <x:c r="J207" s="40" t="n">
        <x:v>812</x:v>
      </x:c>
      <x:c r="K207" s="40" t="n">
        <x:v>925</x:v>
      </x:c>
      <x:c r="L207" s="40" t="n">
        <x:v>682</x:v>
      </x:c>
      <x:c r="M207" s="40" t="n">
        <x:v>584</x:v>
      </x:c>
      <x:c r="N207" s="40" t="n">
        <x:v>761</x:v>
      </x:c>
      <x:c r="O207" s="40" t="n">
        <x:v>832</x:v>
      </x:c>
      <x:c r="P207" s="40" t="n">
        <x:f>IF(COUNT(J207:O207)=0,"",SUM(J207:O207))</x:f>
        <x:v>4596</x:v>
      </x:c>
      <x:c r="Q207" s="40" t="n">
        <x:v>2965500964</x:v>
      </x:c>
      <x:c r="R207" s="40" t="n">
        <x:v>91010021</x:v>
      </x:c>
      <x:c r="S207" s="40" t="n">
        <x:v>310796899</x:v>
      </x:c>
      <x:c r="T207" s="40" t="n">
        <x:v>0</x:v>
      </x:c>
      <x:c r="U207" s="40" t="n">
        <x:v>121920</x:v>
      </x:c>
      <x:c r="V207" s="49" t="str">
        <x:v>宫阙3级</x:v>
      </x:c>
      <x:c r="W207" s="49" t="n">
        <x:v>3</x:v>
      </x:c>
      <x:c r="X207" s="52" t="n">
        <x:f>ROUND(100*(0.4*LN(1+Q207)/LN(1+MAX($Q$5:$Q$395))+0.35*R207/MAX($R$5:$R$395)+0.15*S207/MAX($S$5:$S$395)+IF(P207="",0,0.1*P207/MAX($P$5:$P$395)))/IF(P207="",0.9,1),1)</x:f>
        <x:v>77.1</x:v>
      </x:c>
      <x:c r="Y207" s="49" t="n">
        <x:f>RANK.EQ(X207,$X$5:$X$395,0)</x:f>
        <x:v>63</x:v>
      </x:c>
      <x:c r="Z207" s="34" t="str">
        <x:v>保持当前盟，减少迁移成本</x:v>
      </x:c>
      <x:c r="AA207" s="55"/>
    </x:row>
    <x:row r="208" ht="20" customHeight="1">
      <x:c r="A208" s="46" t="n">
        <x:v>128</x:v>
      </x:c>
      <x:c r="B208" s="27" t="str">
        <x:v>程程程</x:v>
      </x:c>
      <x:c r="C208" s="49" t="str">
        <x:v>玲珑</x:v>
      </x:c>
      <x:c r="D208" s="49" t="str">
        <x:v>玲珑</x:v>
      </x:c>
      <x:c r="E208" s="49" t="str">
        <x:v>留盟</x:v>
      </x:c>
      <x:c r="F208" s="49" t="str"/>
      <x:c r="G208" s="49"/>
      <x:c r="H208" s="37" t="n">
        <x:v>26.4</x:v>
      </x:c>
      <x:c r="I208" s="37" t="n">
        <x:v>20.1</x:v>
      </x:c>
      <x:c r="J208" s="40" t="n">
        <x:v>760</x:v>
      </x:c>
      <x:c r="K208" s="40" t="n">
        <x:v>704</x:v>
      </x:c>
      <x:c r="L208" s="40" t="n">
        <x:v>641</x:v>
      </x:c>
      <x:c r="M208" s="40" t="n">
        <x:v>602</x:v>
      </x:c>
      <x:c r="N208" s="40" t="n">
        <x:v>707</x:v>
      </x:c>
      <x:c r="O208" s="40" t="n">
        <x:v>647</x:v>
      </x:c>
      <x:c r="P208" s="40" t="n">
        <x:f>IF(COUNT(J208:O208)=0,"",SUM(J208:O208))</x:f>
        <x:v>4061</x:v>
      </x:c>
      <x:c r="Q208" s="40" t="n">
        <x:v>3586483070</x:v>
      </x:c>
      <x:c r="R208" s="40" t="n">
        <x:v>90857792</x:v>
      </x:c>
      <x:c r="S208" s="40" t="n">
        <x:v>325949446</x:v>
      </x:c>
      <x:c r="T208" s="40" t="n">
        <x:v>0</x:v>
      </x:c>
      <x:c r="U208" s="40" t="n">
        <x:v>100280</x:v>
      </x:c>
      <x:c r="V208" s="49" t="str">
        <x:v>宫阙3级</x:v>
      </x:c>
      <x:c r="W208" s="49" t="n">
        <x:v>3</x:v>
      </x:c>
      <x:c r="X208" s="52" t="n">
        <x:f>ROUND(100*(0.4*LN(1+Q208)/LN(1+MAX($Q$5:$Q$395))+0.35*R208/MAX($R$5:$R$395)+0.15*S208/MAX($S$5:$S$395)+IF(P208="",0,0.1*P208/MAX($P$5:$P$395)))/IF(P208="",0.9,1),1)</x:f>
        <x:v>77</x:v>
      </x:c>
      <x:c r="Y208" s="49" t="n">
        <x:f>RANK.EQ(X208,$X$5:$X$395,0)</x:f>
        <x:v>65</x:v>
      </x:c>
      <x:c r="Z208" s="34" t="str">
        <x:v>保持当前盟，减少迁移成本</x:v>
      </x:c>
      <x:c r="AA208" s="55"/>
    </x:row>
    <x:row r="209" ht="20" customHeight="1">
      <x:c r="A209" s="46" t="n">
        <x:v>121</x:v>
      </x:c>
      <x:c r="B209" s="27" t="str">
        <x:v>执念丶</x:v>
      </x:c>
      <x:c r="C209" s="49" t="str">
        <x:v>玲珑</x:v>
      </x:c>
      <x:c r="D209" s="49" t="str">
        <x:v>玲珑</x:v>
      </x:c>
      <x:c r="E209" s="49" t="str">
        <x:v>留盟</x:v>
      </x:c>
      <x:c r="F209" s="49" t="str"/>
      <x:c r="G209" s="49" t="str">
        <x:v>花晨</x:v>
      </x:c>
      <x:c r="H209" s="37" t="n">
        <x:v>28.24</x:v>
      </x:c>
      <x:c r="I209" s="37" t="n">
        <x:v>22.5</x:v>
      </x:c>
      <x:c r="J209" s="40" t="n">
        <x:v>744</x:v>
      </x:c>
      <x:c r="K209" s="40" t="n">
        <x:v>921</x:v>
      </x:c>
      <x:c r="L209" s="40" t="n">
        <x:v>610</x:v>
      </x:c>
      <x:c r="M209" s="40" t="n">
        <x:v>571</x:v>
      </x:c>
      <x:c r="N209" s="40" t="n">
        <x:v>684</x:v>
      </x:c>
      <x:c r="O209" s="40" t="n">
        <x:v>818</x:v>
      </x:c>
      <x:c r="P209" s="40" t="n">
        <x:f>IF(COUNT(J209:O209)=0,"",SUM(J209:O209))</x:f>
        <x:v>4348</x:v>
      </x:c>
      <x:c r="Q209" s="40" t="n">
        <x:v>4508820112</x:v>
      </x:c>
      <x:c r="R209" s="40" t="n">
        <x:v>91711332</x:v>
      </x:c>
      <x:c r="S209" s="40" t="n">
        <x:v>287686144</x:v>
      </x:c>
      <x:c r="T209" s="40" t="n">
        <x:v>0</x:v>
      </x:c>
      <x:c r="U209" s="40" t="n">
        <x:v>102000</x:v>
      </x:c>
      <x:c r="V209" s="49" t="str">
        <x:v>宫阙3级</x:v>
      </x:c>
      <x:c r="W209" s="49" t="n">
        <x:v>3</x:v>
      </x:c>
      <x:c r="X209" s="52" t="n">
        <x:f>ROUND(100*(0.4*LN(1+Q209)/LN(1+MAX($Q$5:$Q$395))+0.35*R209/MAX($R$5:$R$395)+0.15*S209/MAX($S$5:$S$395)+IF(P209="",0,0.1*P209/MAX($P$5:$P$395)))/IF(P209="",0.9,1),1)</x:f>
        <x:v>76.9</x:v>
      </x:c>
      <x:c r="Y209" s="49" t="n">
        <x:f>RANK.EQ(X209,$X$5:$X$395,0)</x:f>
        <x:v>66</x:v>
      </x:c>
      <x:c r="Z209" s="34" t="str">
        <x:v>保持当前盟，减少迁移成本</x:v>
      </x:c>
      <x:c r="AA209" s="55"/>
    </x:row>
    <x:row r="210" ht="20" customHeight="1">
      <x:c r="A210" s="46" t="n">
        <x:v>129</x:v>
      </x:c>
      <x:c r="B210" s="27" t="str">
        <x:v>动感光波</x:v>
      </x:c>
      <x:c r="C210" s="49" t="str">
        <x:v>玲珑</x:v>
      </x:c>
      <x:c r="D210" s="49" t="str">
        <x:v>玲珑</x:v>
      </x:c>
      <x:c r="E210" s="49" t="str">
        <x:v>留盟</x:v>
      </x:c>
      <x:c r="F210" s="49" t="str"/>
      <x:c r="G210" s="49" t="str">
        <x:v>花晨</x:v>
      </x:c>
      <x:c r="H210" s="37" t="n">
        <x:v>28.8</x:v>
      </x:c>
      <x:c r="I210" s="37" t="n">
        <x:v>27.9</x:v>
      </x:c>
      <x:c r="J210" s="40" t="n">
        <x:v>746</x:v>
      </x:c>
      <x:c r="K210" s="40" t="n">
        <x:v>940</x:v>
      </x:c>
      <x:c r="L210" s="40" t="n">
        <x:v>493</x:v>
      </x:c>
      <x:c r="M210" s="40" t="n">
        <x:v>426</x:v>
      </x:c>
      <x:c r="N210" s="40" t="n">
        <x:v>669</x:v>
      </x:c>
      <x:c r="O210" s="40" t="n">
        <x:v>696</x:v>
      </x:c>
      <x:c r="P210" s="40" t="n">
        <x:f>IF(COUNT(J210:O210)=0,"",SUM(J210:O210))</x:f>
        <x:v>3970</x:v>
      </x:c>
      <x:c r="Q210" s="40" t="n">
        <x:v>3567317400</x:v>
      </x:c>
      <x:c r="R210" s="40" t="n">
        <x:v>90887949</x:v>
      </x:c>
      <x:c r="S210" s="40" t="n">
        <x:v>322824962</x:v>
      </x:c>
      <x:c r="T210" s="40" t="n">
        <x:v>0</x:v>
      </x:c>
      <x:c r="U210" s="40" t="n">
        <x:v>57600</x:v>
      </x:c>
      <x:c r="V210" s="49" t="str">
        <x:v>宫阙3级</x:v>
      </x:c>
      <x:c r="W210" s="49" t="n">
        <x:v>3</x:v>
      </x:c>
      <x:c r="X210" s="52" t="n">
        <x:f>ROUND(100*(0.4*LN(1+Q210)/LN(1+MAX($Q$5:$Q$395))+0.35*R210/MAX($R$5:$R$395)+0.15*S210/MAX($S$5:$S$395)+IF(P210="",0,0.1*P210/MAX($P$5:$P$395)))/IF(P210="",0.9,1),1)</x:f>
        <x:v>76.8</x:v>
      </x:c>
      <x:c r="Y210" s="49" t="n">
        <x:f>RANK.EQ(X210,$X$5:$X$395,0)</x:f>
        <x:v>68</x:v>
      </x:c>
      <x:c r="Z210" s="34" t="str">
        <x:v>保持当前盟，减少迁移成本</x:v>
      </x:c>
      <x:c r="AA210" s="55"/>
    </x:row>
    <x:row r="211" ht="20" customHeight="1">
      <x:c r="A211" s="46" t="n">
        <x:v>118</x:v>
      </x:c>
      <x:c r="B211" s="27" t="str">
        <x:v>风吹淡淡的疼</x:v>
      </x:c>
      <x:c r="C211" s="49" t="str">
        <x:v>玲珑</x:v>
      </x:c>
      <x:c r="D211" s="49" t="str">
        <x:v>玲珑</x:v>
      </x:c>
      <x:c r="E211" s="49" t="str">
        <x:v>留盟</x:v>
      </x:c>
      <x:c r="F211" s="49" t="str"/>
      <x:c r="G211" s="49" t="str">
        <x:v>兰亭</x:v>
      </x:c>
      <x:c r="H211" s="37" t="n">
        <x:v>25.3</x:v>
      </x:c>
      <x:c r="I211" s="37" t="n">
        <x:v>25.3</x:v>
      </x:c>
      <x:c r="J211" s="40" t="n">
        <x:v>729</x:v>
      </x:c>
      <x:c r="K211" s="40" t="n">
        <x:v>891</x:v>
      </x:c>
      <x:c r="L211" s="40" t="n">
        <x:v>654</x:v>
      </x:c>
      <x:c r="M211" s="40" t="n">
        <x:v>559</x:v>
      </x:c>
      <x:c r="N211" s="40" t="n">
        <x:v>671</x:v>
      </x:c>
      <x:c r="O211" s="40" t="n">
        <x:v>646</x:v>
      </x:c>
      <x:c r="P211" s="40" t="n">
        <x:f>IF(COUNT(J211:O211)=0,"",SUM(J211:O211))</x:f>
        <x:v>4150</x:v>
      </x:c>
      <x:c r="Q211" s="40" t="n">
        <x:v>4839524314</x:v>
      </x:c>
      <x:c r="R211" s="40" t="n">
        <x:v>91698153</x:v>
      </x:c>
      <x:c r="S211" s="40" t="n">
        <x:v>282322788</x:v>
      </x:c>
      <x:c r="T211" s="40" t="n">
        <x:v>0</x:v>
      </x:c>
      <x:c r="U211" s="40" t="n">
        <x:v>109840</x:v>
      </x:c>
      <x:c r="V211" s="49" t="str">
        <x:v>宫阙3级</x:v>
      </x:c>
      <x:c r="W211" s="49" t="n">
        <x:v>3</x:v>
      </x:c>
      <x:c r="X211" s="52" t="n">
        <x:f>ROUND(100*(0.4*LN(1+Q211)/LN(1+MAX($Q$5:$Q$395))+0.35*R211/MAX($R$5:$R$395)+0.15*S211/MAX($S$5:$S$395)+IF(P211="",0,0.1*P211/MAX($P$5:$P$395)))/IF(P211="",0.9,1),1)</x:f>
        <x:v>76.6</x:v>
      </x:c>
      <x:c r="Y211" s="49" t="n">
        <x:f>RANK.EQ(X211,$X$5:$X$395,0)</x:f>
        <x:v>73</x:v>
      </x:c>
      <x:c r="Z211" s="34" t="str">
        <x:v>保持当前盟，减少迁移成本</x:v>
      </x:c>
      <x:c r="AA211" s="55"/>
    </x:row>
    <x:row r="212" ht="20" customHeight="1">
      <x:c r="A212" s="46" t="n">
        <x:v>137</x:v>
      </x:c>
      <x:c r="B212" s="27" t="str">
        <x:v>唐宋元明清</x:v>
      </x:c>
      <x:c r="C212" s="49" t="str">
        <x:v>玲珑</x:v>
      </x:c>
      <x:c r="D212" s="49" t="str">
        <x:v>玲珑</x:v>
      </x:c>
      <x:c r="E212" s="49" t="str">
        <x:v>留盟</x:v>
      </x:c>
      <x:c r="F212" s="49" t="str"/>
      <x:c r="G212" s="49"/>
      <x:c r="H212" s="37"/>
      <x:c r="I212" s="37"/>
      <x:c r="J212" s="40"/>
      <x:c r="K212" s="40"/>
      <x:c r="L212" s="40"/>
      <x:c r="M212" s="40"/>
      <x:c r="N212" s="40"/>
      <x:c r="O212" s="40"/>
      <x:c r="P212" s="40" t="str">
        <x:f>IF(COUNT(J212:O212)=0,"",SUM(J212:O212))</x:f>
      </x:c>
      <x:c r="Q212" s="40" t="n">
        <x:v>2648791690</x:v>
      </x:c>
      <x:c r="R212" s="40" t="n">
        <x:v>89847518</x:v>
      </x:c>
      <x:c r="S212" s="40" t="n">
        <x:v>292083401</x:v>
      </x:c>
      <x:c r="T212" s="40" t="n">
        <x:v>0</x:v>
      </x:c>
      <x:c r="U212" s="40" t="n">
        <x:v>103440</x:v>
      </x:c>
      <x:c r="V212" s="49" t="str">
        <x:v>宫阙3级</x:v>
      </x:c>
      <x:c r="W212" s="49" t="n">
        <x:v>3</x:v>
      </x:c>
      <x:c r="X212" s="52" t="n">
        <x:f>ROUND(100*(0.4*LN(1+Q212)/LN(1+MAX($Q$5:$Q$395))+0.35*R212/MAX($R$5:$R$395)+0.15*S212/MAX($S$5:$S$395)+IF(P212="",0,0.1*P212/MAX($P$5:$P$395)))/IF(P212="",0.9,1),1)</x:f>
        <x:v>76.5</x:v>
      </x:c>
      <x:c r="Y212" s="49" t="n">
        <x:f>RANK.EQ(X212,$X$5:$X$395,0)</x:f>
        <x:v>75</x:v>
      </x:c>
      <x:c r="Z212" s="34" t="str">
        <x:v>保持当前盟，减少迁移成本</x:v>
      </x:c>
      <x:c r="AA212" s="55" t="str">
        <x:v>六维未匹配</x:v>
      </x:c>
    </x:row>
    <x:row r="213" ht="20" customHeight="1">
      <x:c r="A213" s="46" t="n">
        <x:v>130</x:v>
      </x:c>
      <x:c r="B213" s="27" t="str">
        <x:v>那年十八</x:v>
      </x:c>
      <x:c r="C213" s="49" t="str">
        <x:v>玲珑</x:v>
      </x:c>
      <x:c r="D213" s="49" t="str">
        <x:v>玲珑</x:v>
      </x:c>
      <x:c r="E213" s="49" t="str">
        <x:v>留盟</x:v>
      </x:c>
      <x:c r="F213" s="49" t="str"/>
      <x:c r="G213" s="49"/>
      <x:c r="H213" s="37"/>
      <x:c r="I213" s="37"/>
      <x:c r="J213" s="40"/>
      <x:c r="K213" s="40"/>
      <x:c r="L213" s="40"/>
      <x:c r="M213" s="40"/>
      <x:c r="N213" s="40"/>
      <x:c r="O213" s="40"/>
      <x:c r="P213" s="40" t="str">
        <x:f>IF(COUNT(J213:O213)=0,"",SUM(J213:O213))</x:f>
      </x:c>
      <x:c r="Q213" s="40" t="n">
        <x:v>3401620488</x:v>
      </x:c>
      <x:c r="R213" s="40" t="n">
        <x:v>92073936</x:v>
      </x:c>
      <x:c r="S213" s="40" t="n">
        <x:v>253821939</x:v>
      </x:c>
      <x:c r="T213" s="40" t="n">
        <x:v>0</x:v>
      </x:c>
      <x:c r="U213" s="40" t="n">
        <x:v>81480</x:v>
      </x:c>
      <x:c r="V213" s="49" t="str">
        <x:v>宫阙3级</x:v>
      </x:c>
      <x:c r="W213" s="49" t="n">
        <x:v>3</x:v>
      </x:c>
      <x:c r="X213" s="52" t="n">
        <x:f>ROUND(100*(0.4*LN(1+Q213)/LN(1+MAX($Q$5:$Q$395))+0.35*R213/MAX($R$5:$R$395)+0.15*S213/MAX($S$5:$S$395)+IF(P213="",0,0.1*P213/MAX($P$5:$P$395)))/IF(P213="",0.9,1),1)</x:f>
        <x:v>76.4</x:v>
      </x:c>
      <x:c r="Y213" s="49" t="n">
        <x:f>RANK.EQ(X213,$X$5:$X$395,0)</x:f>
        <x:v>77</x:v>
      </x:c>
      <x:c r="Z213" s="34" t="str">
        <x:v>保持当前盟，减少迁移成本</x:v>
      </x:c>
      <x:c r="AA213" s="55" t="str">
        <x:v>六维未匹配</x:v>
      </x:c>
    </x:row>
    <x:row r="214" ht="20" customHeight="1">
      <x:c r="A214" s="46" t="n">
        <x:v>141</x:v>
      </x:c>
      <x:c r="B214" s="27" t="str">
        <x:v>毛酷比</x:v>
      </x:c>
      <x:c r="C214" s="49" t="str">
        <x:v>玲珑</x:v>
      </x:c>
      <x:c r="D214" s="49" t="str">
        <x:v>玲珑</x:v>
      </x:c>
      <x:c r="E214" s="49" t="str">
        <x:v>留盟</x:v>
      </x:c>
      <x:c r="F214" s="49" t="str">
        <x:v>兰亭</x:v>
      </x:c>
      <x:c r="G214" s="49" t="str">
        <x:v>兰亭</x:v>
      </x:c>
      <x:c r="H214" s="37" t="n">
        <x:v>28.8</x:v>
      </x:c>
      <x:c r="I214" s="37" t="n">
        <x:v>28.8</x:v>
      </x:c>
      <x:c r="J214" s="40" t="n">
        <x:v>775</x:v>
      </x:c>
      <x:c r="K214" s="40" t="n">
        <x:v>872</x:v>
      </x:c>
      <x:c r="L214" s="40" t="n">
        <x:v>661</x:v>
      </x:c>
      <x:c r="M214" s="40" t="n">
        <x:v>615</x:v>
      </x:c>
      <x:c r="N214" s="40" t="n">
        <x:v>740</x:v>
      </x:c>
      <x:c r="O214" s="40" t="n">
        <x:v>799</x:v>
      </x:c>
      <x:c r="P214" s="40" t="n">
        <x:f>IF(COUNT(J214:O214)=0,"",SUM(J214:O214))</x:f>
        <x:v>4462</x:v>
      </x:c>
      <x:c r="Q214" s="40" t="n">
        <x:v>2222932536</x:v>
      </x:c>
      <x:c r="R214" s="40" t="n">
        <x:v>92709731</x:v>
      </x:c>
      <x:c r="S214" s="40" t="n">
        <x:v>292775450</x:v>
      </x:c>
      <x:c r="T214" s="40" t="n">
        <x:v>0</x:v>
      </x:c>
      <x:c r="U214" s="40" t="n">
        <x:v>62400</x:v>
      </x:c>
      <x:c r="V214" s="49" t="str">
        <x:v>宫阙3级</x:v>
      </x:c>
      <x:c r="W214" s="49" t="n">
        <x:v>3</x:v>
      </x:c>
      <x:c r="X214" s="52" t="n">
        <x:f>ROUND(100*(0.4*LN(1+Q214)/LN(1+MAX($Q$5:$Q$395))+0.35*R214/MAX($R$5:$R$395)+0.15*S214/MAX($S$5:$S$395)+IF(P214="",0,0.1*P214/MAX($P$5:$P$395)))/IF(P214="",0.9,1),1)</x:f>
        <x:v>76.3</x:v>
      </x:c>
      <x:c r="Y214" s="49" t="n">
        <x:f>RANK.EQ(X214,$X$5:$X$395,0)</x:f>
        <x:v>79</x:v>
      </x:c>
      <x:c r="Z214" s="34" t="str">
        <x:v>保持当前盟，减少迁移成本</x:v>
      </x:c>
      <x:c r="AA214" s="55"/>
    </x:row>
    <x:row r="215" ht="20" customHeight="1">
      <x:c r="A215" s="46" t="n">
        <x:v>119</x:v>
      </x:c>
      <x:c r="B215" s="27" t="str">
        <x:v>锦鲤争锋送好运</x:v>
      </x:c>
      <x:c r="C215" s="49" t="str">
        <x:v>玲珑</x:v>
      </x:c>
      <x:c r="D215" s="49" t="str">
        <x:v>玲珑</x:v>
      </x:c>
      <x:c r="E215" s="49" t="str">
        <x:v>留盟</x:v>
      </x:c>
      <x:c r="F215" s="49" t="str"/>
      <x:c r="G215" s="49" t="str">
        <x:v>花晨</x:v>
      </x:c>
      <x:c r="H215" s="37" t="n">
        <x:v>24.9</x:v>
      </x:c>
      <x:c r="I215" s="37" t="n">
        <x:v>23.9</x:v>
      </x:c>
      <x:c r="J215" s="40" t="n">
        <x:v>668</x:v>
      </x:c>
      <x:c r="K215" s="40" t="n">
        <x:v>720</x:v>
      </x:c>
      <x:c r="L215" s="40" t="n">
        <x:v>573</x:v>
      </x:c>
      <x:c r="M215" s="40" t="n">
        <x:v>640</x:v>
      </x:c>
      <x:c r="N215" s="40" t="n">
        <x:v>699</x:v>
      </x:c>
      <x:c r="O215" s="40" t="n">
        <x:v>744</x:v>
      </x:c>
      <x:c r="P215" s="40" t="n">
        <x:f>IF(COUNT(J215:O215)=0,"",SUM(J215:O215))</x:f>
        <x:v>4044</x:v>
      </x:c>
      <x:c r="Q215" s="40" t="n">
        <x:v>4702046414</x:v>
      </x:c>
      <x:c r="R215" s="40" t="n">
        <x:v>88346150</x:v>
      </x:c>
      <x:c r="S215" s="40" t="n">
        <x:v>307379545</x:v>
      </x:c>
      <x:c r="T215" s="40" t="n">
        <x:v>0</x:v>
      </x:c>
      <x:c r="U215" s="40" t="n">
        <x:v>90320</x:v>
      </x:c>
      <x:c r="V215" s="49" t="str">
        <x:v>宫阙3级</x:v>
      </x:c>
      <x:c r="W215" s="49" t="n">
        <x:v>3</x:v>
      </x:c>
      <x:c r="X215" s="52" t="n">
        <x:f>ROUND(100*(0.4*LN(1+Q215)/LN(1+MAX($Q$5:$Q$395))+0.35*R215/MAX($R$5:$R$395)+0.15*S215/MAX($S$5:$S$395)+IF(P215="",0,0.1*P215/MAX($P$5:$P$395)))/IF(P215="",0.9,1),1)</x:f>
        <x:v>76.2</x:v>
      </x:c>
      <x:c r="Y215" s="49" t="n">
        <x:f>RANK.EQ(X215,$X$5:$X$395,0)</x:f>
        <x:v>81</x:v>
      </x:c>
      <x:c r="Z215" s="34" t="str">
        <x:v>保持当前盟，减少迁移成本</x:v>
      </x:c>
      <x:c r="AA215" s="55"/>
    </x:row>
    <x:row r="216" ht="20" customHeight="1">
      <x:c r="A216" s="46" t="n">
        <x:v>106</x:v>
      </x:c>
      <x:c r="B216" s="27" t="str">
        <x:v>金戈铁马</x:v>
      </x:c>
      <x:c r="C216" s="49" t="str">
        <x:v>玲珑</x:v>
      </x:c>
      <x:c r="D216" s="49" t="str">
        <x:v>玲珑</x:v>
      </x:c>
      <x:c r="E216" s="49" t="str">
        <x:v>留盟</x:v>
      </x:c>
      <x:c r="F216" s="49" t="str">
        <x:v>兰亭</x:v>
      </x:c>
      <x:c r="G216" s="49" t="str">
        <x:v>兰亭</x:v>
      </x:c>
      <x:c r="H216" s="37" t="n">
        <x:v>28.8</x:v>
      </x:c>
      <x:c r="I216" s="37" t="n">
        <x:v>28.4</x:v>
      </x:c>
      <x:c r="J216" s="40" t="n">
        <x:v>791</x:v>
      </x:c>
      <x:c r="K216" s="40" t="n">
        <x:v>850</x:v>
      </x:c>
      <x:c r="L216" s="40" t="n">
        <x:v>588</x:v>
      </x:c>
      <x:c r="M216" s="40" t="n">
        <x:v>555</x:v>
      </x:c>
      <x:c r="N216" s="40" t="n">
        <x:v>754</x:v>
      </x:c>
      <x:c r="O216" s="40" t="n">
        <x:v>789</x:v>
      </x:c>
      <x:c r="P216" s="40" t="n">
        <x:f>IF(COUNT(J216:O216)=0,"",SUM(J216:O216))</x:f>
        <x:v>4327</x:v>
      </x:c>
      <x:c r="Q216" s="40" t="n">
        <x:v>6296660048</x:v>
      </x:c>
      <x:c r="R216" s="40" t="n">
        <x:v>89345091</x:v>
      </x:c>
      <x:c r="S216" s="40" t="n">
        <x:v>263673964</x:v>
      </x:c>
      <x:c r="T216" s="40" t="n">
        <x:v>0</x:v>
      </x:c>
      <x:c r="U216" s="40" t="n">
        <x:v>109880</x:v>
      </x:c>
      <x:c r="V216" s="49" t="str">
        <x:v>宫阙3级</x:v>
      </x:c>
      <x:c r="W216" s="49" t="n">
        <x:v>3</x:v>
      </x:c>
      <x:c r="X216" s="52" t="n">
        <x:f>ROUND(100*(0.4*LN(1+Q216)/LN(1+MAX($Q$5:$Q$395))+0.35*R216/MAX($R$5:$R$395)+0.15*S216/MAX($S$5:$S$395)+IF(P216="",0,0.1*P216/MAX($P$5:$P$395)))/IF(P216="",0.9,1),1)</x:f>
        <x:v>76.2</x:v>
      </x:c>
      <x:c r="Y216" s="49" t="n">
        <x:f>RANK.EQ(X216,$X$5:$X$395,0)</x:f>
        <x:v>81</x:v>
      </x:c>
      <x:c r="Z216" s="34" t="str">
        <x:v>保持当前盟，减少迁移成本</x:v>
      </x:c>
      <x:c r="AA216" s="55"/>
    </x:row>
    <x:row r="217" ht="20" customHeight="1">
      <x:c r="A217" s="46" t="n">
        <x:v>126</x:v>
      </x:c>
      <x:c r="B217" s="27" t="str">
        <x:v>玩泥巴的真真</x:v>
      </x:c>
      <x:c r="C217" s="49" t="str">
        <x:v>玲珑</x:v>
      </x:c>
      <x:c r="D217" s="49" t="str">
        <x:v>玲珑</x:v>
      </x:c>
      <x:c r="E217" s="49" t="str">
        <x:v>留盟</x:v>
      </x:c>
      <x:c r="F217" s="49" t="str"/>
      <x:c r="G217" s="49" t="str">
        <x:v>花晨</x:v>
      </x:c>
      <x:c r="H217" s="37" t="n">
        <x:v>24.5</x:v>
      </x:c>
      <x:c r="I217" s="37" t="n">
        <x:v>19.5</x:v>
      </x:c>
      <x:c r="J217" s="40" t="n">
        <x:v>692</x:v>
      </x:c>
      <x:c r="K217" s="40" t="n">
        <x:v>672</x:v>
      </x:c>
      <x:c r="L217" s="40" t="n">
        <x:v>566</x:v>
      </x:c>
      <x:c r="M217" s="40" t="n">
        <x:v>506</x:v>
      </x:c>
      <x:c r="N217" s="40" t="n">
        <x:v>611</x:v>
      </x:c>
      <x:c r="O217" s="40" t="n">
        <x:v>715</x:v>
      </x:c>
      <x:c r="P217" s="40" t="n">
        <x:f>IF(COUNT(J217:O217)=0,"",SUM(J217:O217))</x:f>
        <x:v>3762</x:v>
      </x:c>
      <x:c r="Q217" s="40" t="n">
        <x:v>3812396984</x:v>
      </x:c>
      <x:c r="R217" s="40" t="n">
        <x:v>87265862</x:v>
      </x:c>
      <x:c r="S217" s="40" t="n">
        <x:v>341735864</x:v>
      </x:c>
      <x:c r="T217" s="40" t="n">
        <x:v>0</x:v>
      </x:c>
      <x:c r="U217" s="40" t="n">
        <x:v>97160</x:v>
      </x:c>
      <x:c r="V217" s="49" t="str">
        <x:v>宫阙3级</x:v>
      </x:c>
      <x:c r="W217" s="49" t="n">
        <x:v>3</x:v>
      </x:c>
      <x:c r="X217" s="52" t="n">
        <x:f>ROUND(100*(0.4*LN(1+Q217)/LN(1+MAX($Q$5:$Q$395))+0.35*R217/MAX($R$5:$R$395)+0.15*S217/MAX($S$5:$S$395)+IF(P217="",0,0.1*P217/MAX($P$5:$P$395)))/IF(P217="",0.9,1),1)</x:f>
        <x:v>76.2</x:v>
      </x:c>
      <x:c r="Y217" s="49" t="n">
        <x:f>RANK.EQ(X217,$X$5:$X$395,0)</x:f>
        <x:v>81</x:v>
      </x:c>
      <x:c r="Z217" s="34" t="str">
        <x:v>保持当前盟，减少迁移成本</x:v>
      </x:c>
      <x:c r="AA217" s="55"/>
    </x:row>
    <x:row r="218" ht="20" customHeight="1">
      <x:c r="A218" s="46" t="n">
        <x:v>111</x:v>
      </x:c>
      <x:c r="B218" s="27" t="str">
        <x:v>夏小白</x:v>
      </x:c>
      <x:c r="C218" s="49" t="str">
        <x:v>玲珑</x:v>
      </x:c>
      <x:c r="D218" s="49" t="str">
        <x:v>玲珑</x:v>
      </x:c>
      <x:c r="E218" s="49" t="str">
        <x:v>留盟</x:v>
      </x:c>
      <x:c r="F218" s="49" t="str">
        <x:v>兰亭</x:v>
      </x:c>
      <x:c r="G218" s="49" t="str">
        <x:v>兰亭</x:v>
      </x:c>
      <x:c r="H218" s="37" t="n">
        <x:v>28.8</x:v>
      </x:c>
      <x:c r="I218" s="37" t="n">
        <x:v>28.8</x:v>
      </x:c>
      <x:c r="J218" s="40" t="n">
        <x:v>796</x:v>
      </x:c>
      <x:c r="K218" s="40" t="n">
        <x:v>894</x:v>
      </x:c>
      <x:c r="L218" s="40" t="n">
        <x:v>694</x:v>
      </x:c>
      <x:c r="M218" s="40" t="n">
        <x:v>651</x:v>
      </x:c>
      <x:c r="N218" s="40" t="n">
        <x:v>710</x:v>
      </x:c>
      <x:c r="O218" s="40" t="n">
        <x:v>779</x:v>
      </x:c>
      <x:c r="P218" s="40" t="n">
        <x:f>IF(COUNT(J218:O218)=0,"",SUM(J218:O218))</x:f>
        <x:v>4524</x:v>
      </x:c>
      <x:c r="Q218" s="40" t="n">
        <x:v>5872950154</x:v>
      </x:c>
      <x:c r="R218" s="40" t="n">
        <x:v>90069468</x:v>
      </x:c>
      <x:c r="S218" s="40" t="n">
        <x:v>250604621</x:v>
      </x:c>
      <x:c r="T218" s="40" t="n">
        <x:v>0</x:v>
      </x:c>
      <x:c r="U218" s="40" t="n">
        <x:v>109800</x:v>
      </x:c>
      <x:c r="V218" s="49" t="str">
        <x:v>宫阙3级</x:v>
      </x:c>
      <x:c r="W218" s="49" t="n">
        <x:v>3</x:v>
      </x:c>
      <x:c r="X218" s="52" t="n">
        <x:f>ROUND(100*(0.4*LN(1+Q218)/LN(1+MAX($Q$5:$Q$395))+0.35*R218/MAX($R$5:$R$395)+0.15*S218/MAX($S$5:$S$395)+IF(P218="",0,0.1*P218/MAX($P$5:$P$395)))/IF(P218="",0.9,1),1)</x:f>
        <x:v>76.2</x:v>
      </x:c>
      <x:c r="Y218" s="49" t="n">
        <x:f>RANK.EQ(X218,$X$5:$X$395,0)</x:f>
        <x:v>81</x:v>
      </x:c>
      <x:c r="Z218" s="34" t="str">
        <x:v>保持当前盟，减少迁移成本</x:v>
      </x:c>
      <x:c r="AA218" s="55"/>
    </x:row>
    <x:row r="219" ht="20" customHeight="1">
      <x:c r="A219" s="46" t="n">
        <x:v>112</x:v>
      </x:c>
      <x:c r="B219" s="27" t="str">
        <x:v>三国乱世枭雄</x:v>
      </x:c>
      <x:c r="C219" s="49" t="str">
        <x:v>玲珑</x:v>
      </x:c>
      <x:c r="D219" s="49" t="str">
        <x:v>玲珑</x:v>
      </x:c>
      <x:c r="E219" s="49" t="str">
        <x:v>留盟</x:v>
      </x:c>
      <x:c r="F219" s="49" t="str"/>
      <x:c r="G219" s="49" t="str">
        <x:v>兰亭</x:v>
      </x:c>
      <x:c r="H219" s="37" t="n">
        <x:v>28.8</x:v>
      </x:c>
      <x:c r="I219" s="37" t="n">
        <x:v>28.8</x:v>
      </x:c>
      <x:c r="J219" s="40" t="n">
        <x:v>757</x:v>
      </x:c>
      <x:c r="K219" s="40" t="n">
        <x:v>886</x:v>
      </x:c>
      <x:c r="L219" s="40" t="n">
        <x:v>432</x:v>
      </x:c>
      <x:c r="M219" s="40" t="n">
        <x:v>325</x:v>
      </x:c>
      <x:c r="N219" s="40" t="n">
        <x:v>698</x:v>
      </x:c>
      <x:c r="O219" s="40" t="n">
        <x:v>737</x:v>
      </x:c>
      <x:c r="P219" s="40" t="n">
        <x:f>IF(COUNT(J219:O219)=0,"",SUM(J219:O219))</x:f>
        <x:v>3835</x:v>
      </x:c>
      <x:c r="Q219" s="40" t="n">
        <x:v>5743146712</x:v>
      </x:c>
      <x:c r="R219" s="40" t="n">
        <x:v>87745843</x:v>
      </x:c>
      <x:c r="S219" s="40" t="n">
        <x:v>297169118</x:v>
      </x:c>
      <x:c r="T219" s="40" t="n">
        <x:v>0</x:v>
      </x:c>
      <x:c r="U219" s="40" t="n">
        <x:v>53760</x:v>
      </x:c>
      <x:c r="V219" s="49" t="str">
        <x:v>宫阙3级</x:v>
      </x:c>
      <x:c r="W219" s="49" t="n">
        <x:v>3</x:v>
      </x:c>
      <x:c r="X219" s="52" t="n">
        <x:f>ROUND(100*(0.4*LN(1+Q219)/LN(1+MAX($Q$5:$Q$395))+0.35*R219/MAX($R$5:$R$395)+0.15*S219/MAX($S$5:$S$395)+IF(P219="",0,0.1*P219/MAX($P$5:$P$395)))/IF(P219="",0.9,1),1)</x:f>
        <x:v>75.8</x:v>
      </x:c>
      <x:c r="Y219" s="49" t="n">
        <x:f>RANK.EQ(X219,$X$5:$X$395,0)</x:f>
        <x:v>89</x:v>
      </x:c>
      <x:c r="Z219" s="34" t="str">
        <x:v>保持当前盟，减少迁移成本</x:v>
      </x:c>
      <x:c r="AA219" s="55"/>
    </x:row>
    <x:row r="220" ht="20" customHeight="1">
      <x:c r="A220" s="46" t="n">
        <x:v>143</x:v>
      </x:c>
      <x:c r="B220" s="27" t="str">
        <x:v>你行你上</x:v>
      </x:c>
      <x:c r="C220" s="49" t="str">
        <x:v>玲珑</x:v>
      </x:c>
      <x:c r="D220" s="49" t="str">
        <x:v>玲珑</x:v>
      </x:c>
      <x:c r="E220" s="49" t="str">
        <x:v>留盟</x:v>
      </x:c>
      <x:c r="F220" s="49" t="str"/>
      <x:c r="G220" s="49" t="str">
        <x:v>兰亭</x:v>
      </x:c>
      <x:c r="H220" s="37" t="n">
        <x:v>28.8</x:v>
      </x:c>
      <x:c r="I220" s="37" t="n">
        <x:v>28.8</x:v>
      </x:c>
      <x:c r="J220" s="40" t="n">
        <x:v>820</x:v>
      </x:c>
      <x:c r="K220" s="40" t="n">
        <x:v>830</x:v>
      </x:c>
      <x:c r="L220" s="40" t="n">
        <x:v>800</x:v>
      </x:c>
      <x:c r="M220" s="40" t="n">
        <x:v>600</x:v>
      </x:c>
      <x:c r="N220" s="40" t="n">
        <x:v>800</x:v>
      </x:c>
      <x:c r="O220" s="40" t="n">
        <x:v>820</x:v>
      </x:c>
      <x:c r="P220" s="40" t="n">
        <x:f>IF(COUNT(J220:O220)=0,"",SUM(J220:O220))</x:f>
        <x:v>4670</x:v>
      </x:c>
      <x:c r="Q220" s="40" t="n">
        <x:v>2042761738</x:v>
      </x:c>
      <x:c r="R220" s="40" t="n">
        <x:v>90676251</x:v>
      </x:c>
      <x:c r="S220" s="40" t="n">
        <x:v>286242222</x:v>
      </x:c>
      <x:c r="T220" s="40" t="n">
        <x:v>0</x:v>
      </x:c>
      <x:c r="U220" s="40" t="n">
        <x:v>117520</x:v>
      </x:c>
      <x:c r="V220" s="49" t="str">
        <x:v>宫阙3级</x:v>
      </x:c>
      <x:c r="W220" s="49" t="n">
        <x:v>3</x:v>
      </x:c>
      <x:c r="X220" s="52" t="n">
        <x:f>ROUND(100*(0.4*LN(1+Q220)/LN(1+MAX($Q$5:$Q$395))+0.35*R220/MAX($R$5:$R$395)+0.15*S220/MAX($S$5:$S$395)+IF(P220="",0,0.1*P220/MAX($P$5:$P$395)))/IF(P220="",0.9,1),1)</x:f>
        <x:v>75.8</x:v>
      </x:c>
      <x:c r="Y220" s="49" t="n">
        <x:f>RANK.EQ(X220,$X$5:$X$395,0)</x:f>
        <x:v>89</x:v>
      </x:c>
      <x:c r="Z220" s="34" t="str">
        <x:v>保持当前盟，减少迁移成本</x:v>
      </x:c>
      <x:c r="AA220" s="55"/>
    </x:row>
    <x:row r="221" ht="20" customHeight="1">
      <x:c r="A221" s="46" t="n">
        <x:v>147</x:v>
      </x:c>
      <x:c r="B221" s="27" t="str">
        <x:v>大漠金乌</x:v>
      </x:c>
      <x:c r="C221" s="49" t="str">
        <x:v>玲珑</x:v>
      </x:c>
      <x:c r="D221" s="49" t="str">
        <x:v>玲珑</x:v>
      </x:c>
      <x:c r="E221" s="49" t="str">
        <x:v>留盟</x:v>
      </x:c>
      <x:c r="F221" s="49" t="str">
        <x:v>兰亭</x:v>
      </x:c>
      <x:c r="G221" s="49" t="str">
        <x:v>兰亭</x:v>
      </x:c>
      <x:c r="H221" s="37" t="n">
        <x:v>26.7</x:v>
      </x:c>
      <x:c r="I221" s="37" t="n">
        <x:v>26.7</x:v>
      </x:c>
      <x:c r="J221" s="40" t="n">
        <x:v>715</x:v>
      </x:c>
      <x:c r="K221" s="40" t="n">
        <x:v>857</x:v>
      </x:c>
      <x:c r="L221" s="40" t="n">
        <x:v>653</x:v>
      </x:c>
      <x:c r="M221" s="40" t="n">
        <x:v>478</x:v>
      </x:c>
      <x:c r="N221" s="40" t="n">
        <x:v>746</x:v>
      </x:c>
      <x:c r="O221" s="40" t="n">
        <x:v>738</x:v>
      </x:c>
      <x:c r="P221" s="40" t="n">
        <x:f>IF(COUNT(J221:O221)=0,"",SUM(J221:O221))</x:f>
        <x:v>4187</x:v>
      </x:c>
      <x:c r="Q221" s="40" t="n">
        <x:v>1810405668</x:v>
      </x:c>
      <x:c r="R221" s="40" t="n">
        <x:v>89818142</x:v>
      </x:c>
      <x:c r="S221" s="40" t="n">
        <x:v>320976948</x:v>
      </x:c>
      <x:c r="T221" s="40" t="n">
        <x:v>0</x:v>
      </x:c>
      <x:c r="U221" s="40" t="n">
        <x:v>109680</x:v>
      </x:c>
      <x:c r="V221" s="49" t="str">
        <x:v>宫阙3级</x:v>
      </x:c>
      <x:c r="W221" s="49" t="n">
        <x:v>3</x:v>
      </x:c>
      <x:c r="X221" s="52" t="n">
        <x:f>ROUND(100*(0.4*LN(1+Q221)/LN(1+MAX($Q$5:$Q$395))+0.35*R221/MAX($R$5:$R$395)+0.15*S221/MAX($S$5:$S$395)+IF(P221="",0,0.1*P221/MAX($P$5:$P$395)))/IF(P221="",0.9,1),1)</x:f>
        <x:v>75.6</x:v>
      </x:c>
      <x:c r="Y221" s="49" t="n">
        <x:f>RANK.EQ(X221,$X$5:$X$395,0)</x:f>
        <x:v>97</x:v>
      </x:c>
      <x:c r="Z221" s="34" t="str">
        <x:v>保持当前盟，减少迁移成本</x:v>
      </x:c>
      <x:c r="AA221" s="55"/>
    </x:row>
    <x:row r="222" ht="20" customHeight="1">
      <x:c r="A222" s="46" t="n">
        <x:v>152</x:v>
      </x:c>
      <x:c r="B222" s="27" t="str">
        <x:v>水月镜花</x:v>
      </x:c>
      <x:c r="C222" s="49" t="str">
        <x:v>玲珑</x:v>
      </x:c>
      <x:c r="D222" s="49" t="str">
        <x:v>玲珑</x:v>
      </x:c>
      <x:c r="E222" s="49" t="str">
        <x:v>留盟</x:v>
      </x:c>
      <x:c r="F222" s="49" t="str"/>
      <x:c r="G222" s="49" t="str">
        <x:v>兰亭</x:v>
      </x:c>
      <x:c r="H222" s="37" t="n">
        <x:v>28.1</x:v>
      </x:c>
      <x:c r="I222" s="37" t="n">
        <x:v>26.7</x:v>
      </x:c>
      <x:c r="J222" s="40" t="n">
        <x:v>761</x:v>
      </x:c>
      <x:c r="K222" s="40" t="n">
        <x:v>982</x:v>
      </x:c>
      <x:c r="L222" s="40" t="n">
        <x:v>699</x:v>
      </x:c>
      <x:c r="M222" s="40" t="n">
        <x:v>627</x:v>
      </x:c>
      <x:c r="N222" s="40" t="n">
        <x:v>724</x:v>
      </x:c>
      <x:c r="O222" s="40" t="n">
        <x:v>826</x:v>
      </x:c>
      <x:c r="P222" s="40" t="n">
        <x:f>IF(COUNT(J222:O222)=0,"",SUM(J222:O222))</x:f>
        <x:v>4619</x:v>
      </x:c>
      <x:c r="Q222" s="40" t="n">
        <x:v>1471014862</x:v>
      </x:c>
      <x:c r="R222" s="40" t="n">
        <x:v>89702579</x:v>
      </x:c>
      <x:c r="S222" s="40" t="n">
        <x:v>310155032</x:v>
      </x:c>
      <x:c r="T222" s="40" t="n">
        <x:v>0</x:v>
      </x:c>
      <x:c r="U222" s="40" t="n">
        <x:v>104160</x:v>
      </x:c>
      <x:c r="V222" s="49" t="str">
        <x:v>宫阙3级</x:v>
      </x:c>
      <x:c r="W222" s="49" t="n">
        <x:v>3</x:v>
      </x:c>
      <x:c r="X222" s="52" t="n">
        <x:f>ROUND(100*(0.4*LN(1+Q222)/LN(1+MAX($Q$5:$Q$395))+0.35*R222/MAX($R$5:$R$395)+0.15*S222/MAX($S$5:$S$395)+IF(P222="",0,0.1*P222/MAX($P$5:$P$395)))/IF(P222="",0.9,1),1)</x:f>
        <x:v>75.6</x:v>
      </x:c>
      <x:c r="Y222" s="49" t="n">
        <x:f>RANK.EQ(X222,$X$5:$X$395,0)</x:f>
        <x:v>97</x:v>
      </x:c>
      <x:c r="Z222" s="34" t="str">
        <x:v>保持当前盟，减少迁移成本</x:v>
      </x:c>
      <x:c r="AA222" s="55"/>
    </x:row>
    <x:row r="223" ht="20" customHeight="1">
      <x:c r="A223" s="46" t="n">
        <x:v>110</x:v>
      </x:c>
      <x:c r="B223" s="27" t="str">
        <x:v>乔乔瞧瞧</x:v>
      </x:c>
      <x:c r="C223" s="49" t="str">
        <x:v>玲珑</x:v>
      </x:c>
      <x:c r="D223" s="49" t="str">
        <x:v>玲珑</x:v>
      </x:c>
      <x:c r="E223" s="49" t="str">
        <x:v>留盟</x:v>
      </x:c>
      <x:c r="F223" s="49" t="str">
        <x:v>兰亭</x:v>
      </x:c>
      <x:c r="G223" s="49" t="str">
        <x:v>兰亭</x:v>
      </x:c>
      <x:c r="H223" s="37" t="n">
        <x:v>28.8</x:v>
      </x:c>
      <x:c r="I223" s="37" t="n">
        <x:v>28.3</x:v>
      </x:c>
      <x:c r="J223" s="40" t="n">
        <x:v>746</x:v>
      </x:c>
      <x:c r="K223" s="40" t="n">
        <x:v>960</x:v>
      </x:c>
      <x:c r="L223" s="40" t="n">
        <x:v>615</x:v>
      </x:c>
      <x:c r="M223" s="40" t="n">
        <x:v>466</x:v>
      </x:c>
      <x:c r="N223" s="40" t="n">
        <x:v>721</x:v>
      </x:c>
      <x:c r="O223" s="40" t="n">
        <x:v>700</x:v>
      </x:c>
      <x:c r="P223" s="40" t="n">
        <x:f>IF(COUNT(J223:O223)=0,"",SUM(J223:O223))</x:f>
        <x:v>4208</x:v>
      </x:c>
      <x:c r="Q223" s="40" t="n">
        <x:v>5909397046</x:v>
      </x:c>
      <x:c r="R223" s="40" t="n">
        <x:v>82038776</x:v>
      </x:c>
      <x:c r="S223" s="40" t="n">
        <x:v>308155380</x:v>
      </x:c>
      <x:c r="T223" s="40" t="n">
        <x:v>0</x:v>
      </x:c>
      <x:c r="U223" s="40" t="n">
        <x:v>103440</x:v>
      </x:c>
      <x:c r="V223" s="49" t="str">
        <x:v>宫阙3级</x:v>
      </x:c>
      <x:c r="W223" s="49" t="n">
        <x:v>3</x:v>
      </x:c>
      <x:c r="X223" s="52" t="n">
        <x:f>ROUND(100*(0.4*LN(1+Q223)/LN(1+MAX($Q$5:$Q$395))+0.35*R223/MAX($R$5:$R$395)+0.15*S223/MAX($S$5:$S$395)+IF(P223="",0,0.1*P223/MAX($P$5:$P$395)))/IF(P223="",0.9,1),1)</x:f>
        <x:v>75.3</x:v>
      </x:c>
      <x:c r="Y223" s="49" t="n">
        <x:f>RANK.EQ(X223,$X$5:$X$395,0)</x:f>
        <x:v>102</x:v>
      </x:c>
      <x:c r="Z223" s="34" t="str">
        <x:v>保持当前盟，减少迁移成本</x:v>
      </x:c>
      <x:c r="AA223" s="55"/>
    </x:row>
    <x:row r="224" ht="20" customHeight="1">
      <x:c r="A224" s="46" t="n">
        <x:v>124</x:v>
      </x:c>
      <x:c r="B224" s="27" t="str">
        <x:v>我是老婆的老婆宝</x:v>
      </x:c>
      <x:c r="C224" s="49" t="str">
        <x:v>玲珑</x:v>
      </x:c>
      <x:c r="D224" s="49" t="str">
        <x:v>玲珑</x:v>
      </x:c>
      <x:c r="E224" s="49" t="str">
        <x:v>留盟</x:v>
      </x:c>
      <x:c r="F224" s="49" t="str">
        <x:v>兰亭</x:v>
      </x:c>
      <x:c r="G224" s="49" t="str">
        <x:v>兰亭</x:v>
      </x:c>
      <x:c r="H224" s="37" t="n">
        <x:v>26.7</x:v>
      </x:c>
      <x:c r="I224" s="37" t="n">
        <x:v>26.7</x:v>
      </x:c>
      <x:c r="J224" s="40" t="n">
        <x:v>670</x:v>
      </x:c>
      <x:c r="K224" s="40" t="n">
        <x:v>895</x:v>
      </x:c>
      <x:c r="L224" s="40" t="n">
        <x:v>655</x:v>
      </x:c>
      <x:c r="M224" s="40" t="n">
        <x:v>502</x:v>
      </x:c>
      <x:c r="N224" s="40" t="n">
        <x:v>740</x:v>
      </x:c>
      <x:c r="O224" s="40" t="n">
        <x:v>756</x:v>
      </x:c>
      <x:c r="P224" s="40" t="n">
        <x:f>IF(COUNT(J224:O224)=0,"",SUM(J224:O224))</x:f>
        <x:v>4218</x:v>
      </x:c>
      <x:c r="Q224" s="40" t="n">
        <x:v>3911785416</x:v>
      </x:c>
      <x:c r="R224" s="40" t="n">
        <x:v>87895075</x:v>
      </x:c>
      <x:c r="S224" s="40" t="n">
        <x:v>274946160</x:v>
      </x:c>
      <x:c r="T224" s="40" t="n">
        <x:v>0</x:v>
      </x:c>
      <x:c r="U224" s="40" t="n">
        <x:v>81600</x:v>
      </x:c>
      <x:c r="V224" s="49" t="str">
        <x:v>宫阙3级</x:v>
      </x:c>
      <x:c r="W224" s="49" t="n">
        <x:v>3</x:v>
      </x:c>
      <x:c r="X224" s="52" t="n">
        <x:f>ROUND(100*(0.4*LN(1+Q224)/LN(1+MAX($Q$5:$Q$395))+0.35*R224/MAX($R$5:$R$395)+0.15*S224/MAX($S$5:$S$395)+IF(P224="",0,0.1*P224/MAX($P$5:$P$395)))/IF(P224="",0.9,1),1)</x:f>
        <x:v>75.1</x:v>
      </x:c>
      <x:c r="Y224" s="49" t="n">
        <x:f>RANK.EQ(X224,$X$5:$X$395,0)</x:f>
        <x:v>108</x:v>
      </x:c>
      <x:c r="Z224" s="34" t="str">
        <x:v>保持当前盟，减少迁移成本</x:v>
      </x:c>
      <x:c r="AA224" s="55" t="str">
        <x:v>名称对应：我老婆的老婆宝</x:v>
      </x:c>
    </x:row>
    <x:row r="225" ht="20" customHeight="1">
      <x:c r="A225" s="46" t="n">
        <x:v>133</x:v>
      </x:c>
      <x:c r="B225" s="27" t="str">
        <x:v>白莲花</x:v>
      </x:c>
      <x:c r="C225" s="49" t="str">
        <x:v>玲珑</x:v>
      </x:c>
      <x:c r="D225" s="49" t="str">
        <x:v>玲珑</x:v>
      </x:c>
      <x:c r="E225" s="49" t="str">
        <x:v>留盟</x:v>
      </x:c>
      <x:c r="F225" s="49" t="str"/>
      <x:c r="G225" s="49"/>
      <x:c r="H225" s="37"/>
      <x:c r="I225" s="37"/>
      <x:c r="J225" s="40"/>
      <x:c r="K225" s="40"/>
      <x:c r="L225" s="40"/>
      <x:c r="M225" s="40"/>
      <x:c r="N225" s="40"/>
      <x:c r="O225" s="40"/>
      <x:c r="P225" s="40" t="str">
        <x:f>IF(COUNT(J225:O225)=0,"",SUM(J225:O225))</x:f>
      </x:c>
      <x:c r="Q225" s="40" t="n">
        <x:v>2903633140</x:v>
      </x:c>
      <x:c r="R225" s="40" t="n">
        <x:v>83259150</x:v>
      </x:c>
      <x:c r="S225" s="40" t="n">
        <x:v>296444179</x:v>
      </x:c>
      <x:c r="T225" s="40" t="n">
        <x:v>0</x:v>
      </x:c>
      <x:c r="U225" s="40" t="n">
        <x:v>60400</x:v>
      </x:c>
      <x:c r="V225" s="49" t="str">
        <x:v>宫阙3级</x:v>
      </x:c>
      <x:c r="W225" s="49" t="n">
        <x:v>3</x:v>
      </x:c>
      <x:c r="X225" s="52" t="n">
        <x:f>ROUND(100*(0.4*LN(1+Q225)/LN(1+MAX($Q$5:$Q$395))+0.35*R225/MAX($R$5:$R$395)+0.15*S225/MAX($S$5:$S$395)+IF(P225="",0,0.1*P225/MAX($P$5:$P$395)))/IF(P225="",0.9,1),1)</x:f>
        <x:v>75</x:v>
      </x:c>
      <x:c r="Y225" s="49" t="n">
        <x:f>RANK.EQ(X225,$X$5:$X$395,0)</x:f>
        <x:v>109</x:v>
      </x:c>
      <x:c r="Z225" s="34" t="str">
        <x:v>保持当前盟，减少迁移成本</x:v>
      </x:c>
      <x:c r="AA225" s="55" t="str">
        <x:v>六维未匹配</x:v>
      </x:c>
    </x:row>
    <x:row r="226" ht="20" customHeight="1">
      <x:c r="A226" s="46" t="n">
        <x:v>156</x:v>
      </x:c>
      <x:c r="B226" s="27" t="str">
        <x:v>松涧听泉</x:v>
      </x:c>
      <x:c r="C226" s="49" t="str">
        <x:v>玲珑</x:v>
      </x:c>
      <x:c r="D226" s="49" t="str">
        <x:v>玲珑</x:v>
      </x:c>
      <x:c r="E226" s="49" t="str">
        <x:v>留盟</x:v>
      </x:c>
      <x:c r="F226" s="49" t="str"/>
      <x:c r="G226" s="49" t="str">
        <x:v>兰亭</x:v>
      </x:c>
      <x:c r="H226" s="37" t="n">
        <x:v>27.3</x:v>
      </x:c>
      <x:c r="I226" s="37" t="n">
        <x:v>26.7</x:v>
      </x:c>
      <x:c r="J226" s="40" t="n">
        <x:v>669</x:v>
      </x:c>
      <x:c r="K226" s="40" t="n">
        <x:v>961</x:v>
      </x:c>
      <x:c r="L226" s="40" t="n">
        <x:v>661</x:v>
      </x:c>
      <x:c r="M226" s="40" t="n">
        <x:v>505</x:v>
      </x:c>
      <x:c r="N226" s="40" t="n">
        <x:v>715</x:v>
      </x:c>
      <x:c r="O226" s="40" t="n">
        <x:v>722</x:v>
      </x:c>
      <x:c r="P226" s="40" t="n">
        <x:f>IF(COUNT(J226:O226)=0,"",SUM(J226:O226))</x:f>
        <x:v>4233</x:v>
      </x:c>
      <x:c r="Q226" s="40" t="n">
        <x:v>1288385054</x:v>
      </x:c>
      <x:c r="R226" s="40" t="n">
        <x:v>89272488</x:v>
      </x:c>
      <x:c r="S226" s="40" t="n">
        <x:v>315951711</x:v>
      </x:c>
      <x:c r="T226" s="40" t="n">
        <x:v>0</x:v>
      </x:c>
      <x:c r="U226" s="40" t="n">
        <x:v>84480</x:v>
      </x:c>
      <x:c r="V226" s="49" t="str">
        <x:v>宫阙3级</x:v>
      </x:c>
      <x:c r="W226" s="49" t="n">
        <x:v>4</x:v>
      </x:c>
      <x:c r="X226" s="52" t="n">
        <x:f>ROUND(100*(0.4*LN(1+Q226)/LN(1+MAX($Q$5:$Q$395))+0.35*R226/MAX($R$5:$R$395)+0.15*S226/MAX($S$5:$S$395)+IF(P226="",0,0.1*P226/MAX($P$5:$P$395)))/IF(P226="",0.9,1),1)</x:f>
        <x:v>74.8</x:v>
      </x:c>
      <x:c r="Y226" s="49" t="n">
        <x:f>RANK.EQ(X226,$X$5:$X$395,0)</x:f>
        <x:v>113</x:v>
      </x:c>
      <x:c r="Z226" s="34" t="str">
        <x:v>保持当前盟，减少迁移成本</x:v>
      </x:c>
      <x:c r="AA226" s="55"/>
    </x:row>
    <x:row r="227" ht="20" customHeight="1">
      <x:c r="A227" s="46" t="n">
        <x:v>154</x:v>
      </x:c>
      <x:c r="B227" s="27" t="str">
        <x:v>醉后凉风起</x:v>
      </x:c>
      <x:c r="C227" s="49" t="str">
        <x:v>玲珑</x:v>
      </x:c>
      <x:c r="D227" s="49" t="str">
        <x:v>玲珑</x:v>
      </x:c>
      <x:c r="E227" s="49" t="str">
        <x:v>留盟</x:v>
      </x:c>
      <x:c r="F227" s="49" t="str"/>
      <x:c r="G227" s="49" t="str">
        <x:v>玲珑</x:v>
      </x:c>
      <x:c r="H227" s="37" t="n">
        <x:v>25.8</x:v>
      </x:c>
      <x:c r="I227" s="37" t="n">
        <x:v>25.8</x:v>
      </x:c>
      <x:c r="J227" s="40" t="n">
        <x:v>754</x:v>
      </x:c>
      <x:c r="K227" s="40" t="n">
        <x:v>711</x:v>
      </x:c>
      <x:c r="L227" s="40" t="n">
        <x:v>622</x:v>
      </x:c>
      <x:c r="M227" s="40" t="n">
        <x:v>481</x:v>
      </x:c>
      <x:c r="N227" s="40" t="n">
        <x:v>652</x:v>
      </x:c>
      <x:c r="O227" s="40" t="n">
        <x:v>658</x:v>
      </x:c>
      <x:c r="P227" s="40" t="n">
        <x:f>IF(COUNT(J227:O227)=0,"",SUM(J227:O227))</x:f>
        <x:v>3878</x:v>
      </x:c>
      <x:c r="Q227" s="40" t="n">
        <x:v>1363649424</x:v>
      </x:c>
      <x:c r="R227" s="40" t="n">
        <x:v>89849782</x:v>
      </x:c>
      <x:c r="S227" s="40" t="n">
        <x:v>325019732</x:v>
      </x:c>
      <x:c r="T227" s="40" t="n">
        <x:v>0</x:v>
      </x:c>
      <x:c r="U227" s="40" t="n">
        <x:v>93120</x:v>
      </x:c>
      <x:c r="V227" s="49" t="str">
        <x:v>宫阙3级</x:v>
      </x:c>
      <x:c r="W227" s="49" t="n">
        <x:v>3</x:v>
      </x:c>
      <x:c r="X227" s="52" t="n">
        <x:f>ROUND(100*(0.4*LN(1+Q227)/LN(1+MAX($Q$5:$Q$395))+0.35*R227/MAX($R$5:$R$395)+0.15*S227/MAX($S$5:$S$395)+IF(P227="",0,0.1*P227/MAX($P$5:$P$395)))/IF(P227="",0.9,1),1)</x:f>
        <x:v>74.8</x:v>
      </x:c>
      <x:c r="Y227" s="49" t="n">
        <x:f>RANK.EQ(X227,$X$5:$X$395,0)</x:f>
        <x:v>113</x:v>
      </x:c>
      <x:c r="Z227" s="34" t="str">
        <x:v>保持当前盟，减少迁移成本</x:v>
      </x:c>
      <x:c r="AA227" s="55"/>
    </x:row>
    <x:row r="228" ht="20" customHeight="1">
      <x:c r="A228" s="46" t="n">
        <x:v>134</x:v>
      </x:c>
      <x:c r="B228" s="27" t="str">
        <x:v>王梓琳</x:v>
      </x:c>
      <x:c r="C228" s="49" t="str">
        <x:v>玲珑</x:v>
      </x:c>
      <x:c r="D228" s="49" t="str">
        <x:v>玲珑</x:v>
      </x:c>
      <x:c r="E228" s="49" t="str">
        <x:v>留盟</x:v>
      </x:c>
      <x:c r="F228" s="49" t="str"/>
      <x:c r="G228" s="49" t="str">
        <x:v>兰亭</x:v>
      </x:c>
      <x:c r="H228" s="37" t="n">
        <x:v>28.8</x:v>
      </x:c>
      <x:c r="I228" s="37" t="n">
        <x:v>22.8</x:v>
      </x:c>
      <x:c r="J228" s="40" t="n">
        <x:v>861</x:v>
      </x:c>
      <x:c r="K228" s="40" t="n">
        <x:v>949</x:v>
      </x:c>
      <x:c r="L228" s="40" t="n">
        <x:v>609</x:v>
      </x:c>
      <x:c r="M228" s="40" t="n">
        <x:v>529</x:v>
      </x:c>
      <x:c r="N228" s="40" t="n">
        <x:v>660</x:v>
      </x:c>
      <x:c r="O228" s="40" t="n">
        <x:v>600</x:v>
      </x:c>
      <x:c r="P228" s="40" t="n">
        <x:f>IF(COUNT(J228:O228)=0,"",SUM(J228:O228))</x:f>
        <x:v>4208</x:v>
      </x:c>
      <x:c r="Q228" s="40" t="n">
        <x:v>2804320758</x:v>
      </x:c>
      <x:c r="R228" s="40" t="n">
        <x:v>91169488</x:v>
      </x:c>
      <x:c r="S228" s="40" t="n">
        <x:v>253233517</x:v>
      </x:c>
      <x:c r="T228" s="40" t="n">
        <x:v>0</x:v>
      </x:c>
      <x:c r="U228" s="40" t="n">
        <x:v>72720</x:v>
      </x:c>
      <x:c r="V228" s="49" t="str">
        <x:v>宫阙3级</x:v>
      </x:c>
      <x:c r="W228" s="49" t="n">
        <x:v>3</x:v>
      </x:c>
      <x:c r="X228" s="52" t="n">
        <x:f>ROUND(100*(0.4*LN(1+Q228)/LN(1+MAX($Q$5:$Q$395))+0.35*R228/MAX($R$5:$R$395)+0.15*S228/MAX($S$5:$S$395)+IF(P228="",0,0.1*P228/MAX($P$5:$P$395)))/IF(P228="",0.9,1),1)</x:f>
        <x:v>74.8</x:v>
      </x:c>
      <x:c r="Y228" s="49" t="n">
        <x:f>RANK.EQ(X228,$X$5:$X$395,0)</x:f>
        <x:v>113</x:v>
      </x:c>
      <x:c r="Z228" s="34" t="str">
        <x:v>保持当前盟，减少迁移成本</x:v>
      </x:c>
      <x:c r="AA228" s="55"/>
    </x:row>
    <x:row r="229" ht="20" customHeight="1">
      <x:c r="A229" s="46" t="n">
        <x:v>115</x:v>
      </x:c>
      <x:c r="B229" s="27" t="str">
        <x:v>尘心入寂</x:v>
      </x:c>
      <x:c r="C229" s="49" t="str">
        <x:v>玲珑</x:v>
      </x:c>
      <x:c r="D229" s="49" t="str">
        <x:v>玲珑</x:v>
      </x:c>
      <x:c r="E229" s="49" t="str">
        <x:v>留盟</x:v>
      </x:c>
      <x:c r="F229" s="49" t="str"/>
      <x:c r="G229" s="49" t="str">
        <x:v>兰亭</x:v>
      </x:c>
      <x:c r="H229" s="37" t="n">
        <x:v>28.8</x:v>
      </x:c>
      <x:c r="I229" s="37" t="n">
        <x:v>24.8</x:v>
      </x:c>
      <x:c r="J229" s="40" t="n">
        <x:v>728</x:v>
      </x:c>
      <x:c r="K229" s="40" t="n">
        <x:v>755</x:v>
      </x:c>
      <x:c r="L229" s="40" t="n">
        <x:v>614</x:v>
      </x:c>
      <x:c r="M229" s="40" t="n">
        <x:v>502</x:v>
      </x:c>
      <x:c r="N229" s="40" t="n">
        <x:v>661</x:v>
      </x:c>
      <x:c r="O229" s="40" t="n">
        <x:v>653</x:v>
      </x:c>
      <x:c r="P229" s="40" t="n">
        <x:f>IF(COUNT(J229:O229)=0,"",SUM(J229:O229))</x:f>
        <x:v>3913</x:v>
      </x:c>
      <x:c r="Q229" s="40" t="n">
        <x:v>5419713442</x:v>
      </x:c>
      <x:c r="R229" s="40" t="n">
        <x:v>84627580</x:v>
      </x:c>
      <x:c r="S229" s="40" t="n">
        <x:v>283742972</x:v>
      </x:c>
      <x:c r="T229" s="40" t="n">
        <x:v>0</x:v>
      </x:c>
      <x:c r="U229" s="40" t="n">
        <x:v>84560</x:v>
      </x:c>
      <x:c r="V229" s="49" t="str">
        <x:v>宫阙3级</x:v>
      </x:c>
      <x:c r="W229" s="49" t="n">
        <x:v>3</x:v>
      </x:c>
      <x:c r="X229" s="52" t="n">
        <x:f>ROUND(100*(0.4*LN(1+Q229)/LN(1+MAX($Q$5:$Q$395))+0.35*R229/MAX($R$5:$R$395)+0.15*S229/MAX($S$5:$S$395)+IF(P229="",0,0.1*P229/MAX($P$5:$P$395)))/IF(P229="",0.9,1),1)</x:f>
        <x:v>74.6</x:v>
      </x:c>
      <x:c r="Y229" s="49" t="n">
        <x:f>RANK.EQ(X229,$X$5:$X$395,0)</x:f>
        <x:v>119</x:v>
      </x:c>
      <x:c r="Z229" s="34" t="str">
        <x:v>保持当前盟，减少迁移成本</x:v>
      </x:c>
      <x:c r="AA229" s="55"/>
    </x:row>
    <x:row r="230" ht="20" customHeight="1">
      <x:c r="A230" s="46" t="n">
        <x:v>149</x:v>
      </x:c>
      <x:c r="B230" s="27" t="str">
        <x:v>九尾狐</x:v>
      </x:c>
      <x:c r="C230" s="49" t="str">
        <x:v>玲珑</x:v>
      </x:c>
      <x:c r="D230" s="49" t="str">
        <x:v>玲珑</x:v>
      </x:c>
      <x:c r="E230" s="49" t="str">
        <x:v>留盟</x:v>
      </x:c>
      <x:c r="F230" s="49" t="str"/>
      <x:c r="G230" s="49" t="str">
        <x:v>兰亭</x:v>
      </x:c>
      <x:c r="H230" s="37" t="n">
        <x:v>28.8</x:v>
      </x:c>
      <x:c r="I230" s="37" t="n">
        <x:v>20.6</x:v>
      </x:c>
      <x:c r="J230" s="40" t="n">
        <x:v>682</x:v>
      </x:c>
      <x:c r="K230" s="40" t="n">
        <x:v>710</x:v>
      </x:c>
      <x:c r="L230" s="40" t="n">
        <x:v>578</x:v>
      </x:c>
      <x:c r="M230" s="40" t="n">
        <x:v>507</x:v>
      </x:c>
      <x:c r="N230" s="40" t="n">
        <x:v>631</x:v>
      </x:c>
      <x:c r="O230" s="40" t="n">
        <x:v>578</x:v>
      </x:c>
      <x:c r="P230" s="40" t="n">
        <x:f>IF(COUNT(J230:O230)=0,"",SUM(J230:O230))</x:f>
        <x:v>3686</x:v>
      </x:c>
      <x:c r="Q230" s="40" t="n">
        <x:v>1736642536</x:v>
      </x:c>
      <x:c r="R230" s="40" t="n">
        <x:v>90387588</x:v>
      </x:c>
      <x:c r="S230" s="40" t="n">
        <x:v>309329233</x:v>
      </x:c>
      <x:c r="T230" s="40" t="n">
        <x:v>0</x:v>
      </x:c>
      <x:c r="U230" s="40" t="n">
        <x:v>61840</x:v>
      </x:c>
      <x:c r="V230" s="49" t="str">
        <x:v>宫阙3级</x:v>
      </x:c>
      <x:c r="W230" s="49" t="n">
        <x:v>3</x:v>
      </x:c>
      <x:c r="X230" s="52" t="n">
        <x:f>ROUND(100*(0.4*LN(1+Q230)/LN(1+MAX($Q$5:$Q$395))+0.35*R230/MAX($R$5:$R$395)+0.15*S230/MAX($S$5:$S$395)+IF(P230="",0,0.1*P230/MAX($P$5:$P$395)))/IF(P230="",0.9,1),1)</x:f>
        <x:v>74.6</x:v>
      </x:c>
      <x:c r="Y230" s="49" t="n">
        <x:f>RANK.EQ(X230,$X$5:$X$395,0)</x:f>
        <x:v>119</x:v>
      </x:c>
      <x:c r="Z230" s="34" t="str">
        <x:v>保持当前盟，减少迁移成本</x:v>
      </x:c>
      <x:c r="AA230" s="55"/>
    </x:row>
    <x:row r="231" ht="20" customHeight="1">
      <x:c r="A231" s="46" t="n">
        <x:v>116</x:v>
      </x:c>
      <x:c r="B231" s="27" t="str">
        <x:v>薄荷奶绿</x:v>
      </x:c>
      <x:c r="C231" s="49" t="str">
        <x:v>玲珑</x:v>
      </x:c>
      <x:c r="D231" s="49" t="str">
        <x:v>玲珑</x:v>
      </x:c>
      <x:c r="E231" s="49" t="str">
        <x:v>留盟</x:v>
      </x:c>
      <x:c r="F231" s="49" t="str"/>
      <x:c r="G231" s="49"/>
      <x:c r="H231" s="37" t="n">
        <x:v>27.9</x:v>
      </x:c>
      <x:c r="I231" s="37" t="n">
        <x:v>24.6</x:v>
      </x:c>
      <x:c r="J231" s="40" t="n">
        <x:v>646</x:v>
      </x:c>
      <x:c r="K231" s="40" t="n">
        <x:v>673</x:v>
      </x:c>
      <x:c r="L231" s="40" t="n">
        <x:v>568</x:v>
      </x:c>
      <x:c r="M231" s="40" t="n">
        <x:v>547</x:v>
      </x:c>
      <x:c r="N231" s="40" t="n">
        <x:v>708</x:v>
      </x:c>
      <x:c r="O231" s="40" t="n">
        <x:v>789</x:v>
      </x:c>
      <x:c r="P231" s="40" t="n">
        <x:f>IF(COUNT(J231:O231)=0,"",SUM(J231:O231))</x:f>
        <x:v>3931</x:v>
      </x:c>
      <x:c r="Q231" s="40" t="n">
        <x:v>5264255782</x:v>
      </x:c>
      <x:c r="R231" s="40" t="n">
        <x:v>82850949</x:v>
      </x:c>
      <x:c r="S231" s="40" t="n">
        <x:v>283288498</x:v>
      </x:c>
      <x:c r="T231" s="40" t="n">
        <x:v>0</x:v>
      </x:c>
      <x:c r="U231" s="40" t="n">
        <x:v>83600</x:v>
      </x:c>
      <x:c r="V231" s="49" t="str">
        <x:v>宫阙3级</x:v>
      </x:c>
      <x:c r="W231" s="49" t="n">
        <x:v>3</x:v>
      </x:c>
      <x:c r="X231" s="52" t="n">
        <x:f>ROUND(100*(0.4*LN(1+Q231)/LN(1+MAX($Q$5:$Q$395))+0.35*R231/MAX($R$5:$R$395)+0.15*S231/MAX($S$5:$S$395)+IF(P231="",0,0.1*P231/MAX($P$5:$P$395)))/IF(P231="",0.9,1),1)</x:f>
        <x:v>74.1</x:v>
      </x:c>
      <x:c r="Y231" s="49" t="n">
        <x:f>RANK.EQ(X231,$X$5:$X$395,0)</x:f>
        <x:v>125</x:v>
      </x:c>
      <x:c r="Z231" s="34" t="str">
        <x:v>保持当前盟，减少迁移成本</x:v>
      </x:c>
      <x:c r="AA231" s="55"/>
    </x:row>
    <x:row r="232" ht="20" customHeight="1">
      <x:c r="A232" s="46" t="n">
        <x:v>125</x:v>
      </x:c>
      <x:c r="B232" s="27" t="str">
        <x:v>大力出奇迹</x:v>
      </x:c>
      <x:c r="C232" s="49" t="str">
        <x:v>玲珑</x:v>
      </x:c>
      <x:c r="D232" s="49" t="str">
        <x:v>玲珑</x:v>
      </x:c>
      <x:c r="E232" s="49" t="str">
        <x:v>留盟</x:v>
      </x:c>
      <x:c r="F232" s="49" t="str">
        <x:v>兰亭</x:v>
      </x:c>
      <x:c r="G232" s="49" t="str">
        <x:v>兰亭</x:v>
      </x:c>
      <x:c r="H232" s="37" t="n">
        <x:v>28.8</x:v>
      </x:c>
      <x:c r="I232" s="37" t="n">
        <x:v>28.8</x:v>
      </x:c>
      <x:c r="J232" s="40" t="n">
        <x:v>769</x:v>
      </x:c>
      <x:c r="K232" s="40" t="n">
        <x:v>862</x:v>
      </x:c>
      <x:c r="L232" s="40" t="n">
        <x:v>667</x:v>
      </x:c>
      <x:c r="M232" s="40" t="n">
        <x:v>602</x:v>
      </x:c>
      <x:c r="N232" s="40" t="n">
        <x:v>695</x:v>
      </x:c>
      <x:c r="O232" s="40" t="n">
        <x:v>623</x:v>
      </x:c>
      <x:c r="P232" s="40" t="n">
        <x:f>IF(COUNT(J232:O232)=0,"",SUM(J232:O232))</x:f>
        <x:v>4218</x:v>
      </x:c>
      <x:c r="Q232" s="40" t="n">
        <x:v>3831148944</x:v>
      </x:c>
      <x:c r="R232" s="40" t="n">
        <x:v>83414813</x:v>
      </x:c>
      <x:c r="S232" s="40" t="n">
        <x:v>269336013</x:v>
      </x:c>
      <x:c r="T232" s="40" t="n">
        <x:v>0</x:v>
      </x:c>
      <x:c r="U232" s="40" t="n">
        <x:v>83560</x:v>
      </x:c>
      <x:c r="V232" s="49" t="str">
        <x:v>宫阙3级</x:v>
      </x:c>
      <x:c r="W232" s="49" t="n">
        <x:v>3</x:v>
      </x:c>
      <x:c r="X232" s="52" t="n">
        <x:f>ROUND(100*(0.4*LN(1+Q232)/LN(1+MAX($Q$5:$Q$395))+0.35*R232/MAX($R$5:$R$395)+0.15*S232/MAX($S$5:$S$395)+IF(P232="",0,0.1*P232/MAX($P$5:$P$395)))/IF(P232="",0.9,1),1)</x:f>
        <x:v>73.8</x:v>
      </x:c>
      <x:c r="Y232" s="49" t="n">
        <x:f>RANK.EQ(X232,$X$5:$X$395,0)</x:f>
        <x:v>129</x:v>
      </x:c>
      <x:c r="Z232" s="34" t="str">
        <x:v>保持当前盟，减少迁移成本</x:v>
      </x:c>
      <x:c r="AA232" s="55"/>
    </x:row>
    <x:row r="233" ht="20" customHeight="1">
      <x:c r="A233" s="46" t="n">
        <x:v>164</x:v>
      </x:c>
      <x:c r="B233" s="27" t="str">
        <x:v>魔法花园</x:v>
      </x:c>
      <x:c r="C233" s="49" t="str">
        <x:v>玲珑</x:v>
      </x:c>
      <x:c r="D233" s="49" t="str">
        <x:v>玲珑</x:v>
      </x:c>
      <x:c r="E233" s="49" t="str">
        <x:v>留盟</x:v>
      </x:c>
      <x:c r="F233" s="49" t="str">
        <x:v>兰亭</x:v>
      </x:c>
      <x:c r="G233" s="49" t="str">
        <x:v>兰亭</x:v>
      </x:c>
      <x:c r="H233" s="37" t="n">
        <x:v>26.7</x:v>
      </x:c>
      <x:c r="I233" s="37" t="n">
        <x:v>26.7</x:v>
      </x:c>
      <x:c r="J233" s="40" t="n">
        <x:v>707</x:v>
      </x:c>
      <x:c r="K233" s="40" t="n">
        <x:v>878</x:v>
      </x:c>
      <x:c r="L233" s="40" t="n">
        <x:v>718</x:v>
      </x:c>
      <x:c r="M233" s="40" t="n">
        <x:v>503</x:v>
      </x:c>
      <x:c r="N233" s="40" t="n">
        <x:v>774</x:v>
      </x:c>
      <x:c r="O233" s="40" t="n">
        <x:v>678</x:v>
      </x:c>
      <x:c r="P233" s="40" t="n">
        <x:f>IF(COUNT(J233:O233)=0,"",SUM(J233:O233))</x:f>
        <x:v>4258</x:v>
      </x:c>
      <x:c r="Q233" s="40" t="n">
        <x:v>616843600</x:v>
      </x:c>
      <x:c r="R233" s="40" t="n">
        <x:v>88689352</x:v>
      </x:c>
      <x:c r="S233" s="40" t="n">
        <x:v>321903806</x:v>
      </x:c>
      <x:c r="T233" s="40" t="n">
        <x:v>0</x:v>
      </x:c>
      <x:c r="U233" s="40" t="n">
        <x:v>79840</x:v>
      </x:c>
      <x:c r="V233" s="49" t="str">
        <x:v>宫阙3级</x:v>
      </x:c>
      <x:c r="W233" s="49" t="n">
        <x:v>3</x:v>
      </x:c>
      <x:c r="X233" s="52" t="n">
        <x:f>ROUND(100*(0.4*LN(1+Q233)/LN(1+MAX($Q$5:$Q$395))+0.35*R233/MAX($R$5:$R$395)+0.15*S233/MAX($S$5:$S$395)+IF(P233="",0,0.1*P233/MAX($P$5:$P$395)))/IF(P233="",0.9,1),1)</x:f>
        <x:v>73.6</x:v>
      </x:c>
      <x:c r="Y233" s="49" t="n">
        <x:f>RANK.EQ(X233,$X$5:$X$395,0)</x:f>
        <x:v>133</x:v>
      </x:c>
      <x:c r="Z233" s="34" t="str">
        <x:v>保持当前盟，减少迁移成本</x:v>
      </x:c>
      <x:c r="AA233" s="55"/>
    </x:row>
    <x:row r="234" ht="20" customHeight="1">
      <x:c r="A234" s="46" t="n">
        <x:v>136</x:v>
      </x:c>
      <x:c r="B234" s="27" t="str">
        <x:v>冰森星辰</x:v>
      </x:c>
      <x:c r="C234" s="49" t="str">
        <x:v>玲珑</x:v>
      </x:c>
      <x:c r="D234" s="49" t="str">
        <x:v>玲珑</x:v>
      </x:c>
      <x:c r="E234" s="49" t="str">
        <x:v>留盟</x:v>
      </x:c>
      <x:c r="F234" s="49" t="str"/>
      <x:c r="G234" s="49"/>
      <x:c r="H234" s="37" t="n">
        <x:v>25.8</x:v>
      </x:c>
      <x:c r="I234" s="37"/>
      <x:c r="J234" s="40" t="n">
        <x:v>660</x:v>
      </x:c>
      <x:c r="K234" s="40" t="n">
        <x:v>679</x:v>
      </x:c>
      <x:c r="L234" s="40" t="n">
        <x:v>573</x:v>
      </x:c>
      <x:c r="M234" s="40" t="n">
        <x:v>408</x:v>
      </x:c>
      <x:c r="N234" s="40" t="n">
        <x:v>665</x:v>
      </x:c>
      <x:c r="O234" s="40" t="n">
        <x:v>547</x:v>
      </x:c>
      <x:c r="P234" s="40" t="n">
        <x:f>IF(COUNT(J234:O234)=0,"",SUM(J234:O234))</x:f>
        <x:v>3532</x:v>
      </x:c>
      <x:c r="Q234" s="40" t="n">
        <x:v>2678593192</x:v>
      </x:c>
      <x:c r="R234" s="40" t="n">
        <x:v>81926656</x:v>
      </x:c>
      <x:c r="S234" s="40" t="n">
        <x:v>334490485</x:v>
      </x:c>
      <x:c r="T234" s="40" t="n">
        <x:v>0</x:v>
      </x:c>
      <x:c r="U234" s="40" t="n">
        <x:v>62280</x:v>
      </x:c>
      <x:c r="V234" s="49" t="str">
        <x:v>宫阙3级</x:v>
      </x:c>
      <x:c r="W234" s="49" t="n">
        <x:v>3</x:v>
      </x:c>
      <x:c r="X234" s="52" t="n">
        <x:f>ROUND(100*(0.4*LN(1+Q234)/LN(1+MAX($Q$5:$Q$395))+0.35*R234/MAX($R$5:$R$395)+0.15*S234/MAX($S$5:$S$395)+IF(P234="",0,0.1*P234/MAX($P$5:$P$395)))/IF(P234="",0.9,1),1)</x:f>
        <x:v>73.6</x:v>
      </x:c>
      <x:c r="Y234" s="49" t="n">
        <x:f>RANK.EQ(X234,$X$5:$X$395,0)</x:f>
        <x:v>133</x:v>
      </x:c>
      <x:c r="Z234" s="34" t="str">
        <x:v>保持当前盟，减少迁移成本</x:v>
      </x:c>
      <x:c r="AA234" s="55"/>
    </x:row>
    <x:row r="235" ht="20" customHeight="1">
      <x:c r="A235" s="46" t="n">
        <x:v>163</x:v>
      </x:c>
      <x:c r="B235" s="27" t="str">
        <x:v>最好的奈奈</x:v>
      </x:c>
      <x:c r="C235" s="49" t="str">
        <x:v>玲珑</x:v>
      </x:c>
      <x:c r="D235" s="49" t="str">
        <x:v>玲珑</x:v>
      </x:c>
      <x:c r="E235" s="49" t="str">
        <x:v>留盟</x:v>
      </x:c>
      <x:c r="F235" s="49" t="str">
        <x:v>兰亭</x:v>
      </x:c>
      <x:c r="G235" s="49" t="str">
        <x:v>兰亭</x:v>
      </x:c>
      <x:c r="H235" s="37" t="n">
        <x:v>28.6</x:v>
      </x:c>
      <x:c r="I235" s="37" t="n">
        <x:v>28.6</x:v>
      </x:c>
      <x:c r="J235" s="40" t="n">
        <x:v>744</x:v>
      </x:c>
      <x:c r="K235" s="40" t="n">
        <x:v>767</x:v>
      </x:c>
      <x:c r="L235" s="40" t="n">
        <x:v>650</x:v>
      </x:c>
      <x:c r="M235" s="40" t="n">
        <x:v>610</x:v>
      </x:c>
      <x:c r="N235" s="40" t="n">
        <x:v>697</x:v>
      </x:c>
      <x:c r="O235" s="40" t="n">
        <x:v>739</x:v>
      </x:c>
      <x:c r="P235" s="40" t="n">
        <x:f>IF(COUNT(J235:O235)=0,"",SUM(J235:O235))</x:f>
        <x:v>4207</x:v>
      </x:c>
      <x:c r="Q235" s="40" t="n">
        <x:v>708344026</x:v>
      </x:c>
      <x:c r="R235" s="40" t="n">
        <x:v>87989231</x:v>
      </x:c>
      <x:c r="S235" s="40" t="n">
        <x:v>310178806</x:v>
      </x:c>
      <x:c r="T235" s="40" t="n">
        <x:v>0</x:v>
      </x:c>
      <x:c r="U235" s="40" t="n">
        <x:v>62320</x:v>
      </x:c>
      <x:c r="V235" s="49" t="str">
        <x:v>宫阙3级</x:v>
      </x:c>
      <x:c r="W235" s="49" t="n">
        <x:v>3</x:v>
      </x:c>
      <x:c r="X235" s="52" t="n">
        <x:f>ROUND(100*(0.4*LN(1+Q235)/LN(1+MAX($Q$5:$Q$395))+0.35*R235/MAX($R$5:$R$395)+0.15*S235/MAX($S$5:$S$395)+IF(P235="",0,0.1*P235/MAX($P$5:$P$395)))/IF(P235="",0.9,1),1)</x:f>
        <x:v>73.3</x:v>
      </x:c>
      <x:c r="Y235" s="49" t="n">
        <x:f>RANK.EQ(X235,$X$5:$X$395,0)</x:f>
        <x:v>136</x:v>
      </x:c>
      <x:c r="Z235" s="34" t="str">
        <x:v>保持当前盟，减少迁移成本</x:v>
      </x:c>
      <x:c r="AA235" s="55"/>
    </x:row>
    <x:row r="236" ht="20" customHeight="1">
      <x:c r="A236" s="46" t="n">
        <x:v>172</x:v>
      </x:c>
      <x:c r="B236" s="27" t="str">
        <x:v>聪聪121</x:v>
      </x:c>
      <x:c r="C236" s="49" t="str">
        <x:v>玲珑</x:v>
      </x:c>
      <x:c r="D236" s="49" t="str">
        <x:v>玲珑</x:v>
      </x:c>
      <x:c r="E236" s="49" t="str">
        <x:v>留盟</x:v>
      </x:c>
      <x:c r="F236" s="49" t="str">
        <x:v>兰亭</x:v>
      </x:c>
      <x:c r="G236" s="49" t="str">
        <x:v>兰亭</x:v>
      </x:c>
      <x:c r="H236" s="37" t="n">
        <x:v>28.8</x:v>
      </x:c>
      <x:c r="I236" s="37" t="n">
        <x:v>28.8</x:v>
      </x:c>
      <x:c r="J236" s="40" t="n">
        <x:v>820</x:v>
      </x:c>
      <x:c r="K236" s="40" t="n">
        <x:v>990</x:v>
      </x:c>
      <x:c r="L236" s="40" t="n">
        <x:v>732</x:v>
      </x:c>
      <x:c r="M236" s="40" t="n">
        <x:v>633</x:v>
      </x:c>
      <x:c r="N236" s="40" t="n">
        <x:v>760</x:v>
      </x:c>
      <x:c r="O236" s="40" t="n">
        <x:v>698</x:v>
      </x:c>
      <x:c r="P236" s="40" t="n">
        <x:f>IF(COUNT(J236:O236)=0,"",SUM(J236:O236))</x:f>
        <x:v>4633</x:v>
      </x:c>
      <x:c r="Q236" s="40" t="n">
        <x:v>377817506</x:v>
      </x:c>
      <x:c r="R236" s="40" t="n">
        <x:v>91960744</x:v>
      </x:c>
      <x:c r="S236" s="40" t="n">
        <x:v>284426760</x:v>
      </x:c>
      <x:c r="T236" s="40" t="n">
        <x:v>0</x:v>
      </x:c>
      <x:c r="U236" s="40" t="n">
        <x:v>40800</x:v>
      </x:c>
      <x:c r="V236" s="49" t="str">
        <x:v>宫阙3级</x:v>
      </x:c>
      <x:c r="W236" s="49" t="n">
        <x:v>3</x:v>
      </x:c>
      <x:c r="X236" s="52" t="n">
        <x:f>ROUND(100*(0.4*LN(1+Q236)/LN(1+MAX($Q$5:$Q$395))+0.35*R236/MAX($R$5:$R$395)+0.15*S236/MAX($S$5:$S$395)+IF(P236="",0,0.1*P236/MAX($P$5:$P$395)))/IF(P236="",0.9,1),1)</x:f>
        <x:v>73.1</x:v>
      </x:c>
      <x:c r="Y236" s="49" t="n">
        <x:f>RANK.EQ(X236,$X$5:$X$395,0)</x:f>
        <x:v>141</x:v>
      </x:c>
      <x:c r="Z236" s="34" t="str">
        <x:v>保持当前盟，减少迁移成本</x:v>
      </x:c>
      <x:c r="AA236" s="55" t="str">
        <x:v>名称对应：聪聪</x:v>
      </x:c>
    </x:row>
    <x:row r="237" ht="20" customHeight="1">
      <x:c r="A237" s="46" t="n">
        <x:v>135</x:v>
      </x:c>
      <x:c r="B237" s="27" t="str">
        <x:v>东二批</x:v>
      </x:c>
      <x:c r="C237" s="49" t="str">
        <x:v>玲珑</x:v>
      </x:c>
      <x:c r="D237" s="49" t="str">
        <x:v>玲珑</x:v>
      </x:c>
      <x:c r="E237" s="49" t="str">
        <x:v>留盟</x:v>
      </x:c>
      <x:c r="F237" s="49" t="str"/>
      <x:c r="G237" s="49"/>
      <x:c r="H237" s="37"/>
      <x:c r="I237" s="37"/>
      <x:c r="J237" s="40"/>
      <x:c r="K237" s="40"/>
      <x:c r="L237" s="40"/>
      <x:c r="M237" s="40"/>
      <x:c r="N237" s="40"/>
      <x:c r="O237" s="40"/>
      <x:c r="P237" s="40" t="str">
        <x:f>IF(COUNT(J237:O237)=0,"",SUM(J237:O237))</x:f>
      </x:c>
      <x:c r="Q237" s="40" t="n">
        <x:v>2743030646</x:v>
      </x:c>
      <x:c r="R237" s="40" t="n">
        <x:v>78852356</x:v>
      </x:c>
      <x:c r="S237" s="40" t="n">
        <x:v>281772125</x:v>
      </x:c>
      <x:c r="T237" s="40" t="n">
        <x:v>0</x:v>
      </x:c>
      <x:c r="U237" s="40" t="n">
        <x:v>116840</x:v>
      </x:c>
      <x:c r="V237" s="49" t="str">
        <x:v>宫阙3级</x:v>
      </x:c>
      <x:c r="W237" s="49" t="n">
        <x:v>3</x:v>
      </x:c>
      <x:c r="X237" s="52" t="n">
        <x:f>ROUND(100*(0.4*LN(1+Q237)/LN(1+MAX($Q$5:$Q$395))+0.35*R237/MAX($R$5:$R$395)+0.15*S237/MAX($S$5:$S$395)+IF(P237="",0,0.1*P237/MAX($P$5:$P$395)))/IF(P237="",0.9,1),1)</x:f>
        <x:v>73.1</x:v>
      </x:c>
      <x:c r="Y237" s="49" t="n">
        <x:f>RANK.EQ(X237,$X$5:$X$395,0)</x:f>
        <x:v>141</x:v>
      </x:c>
      <x:c r="Z237" s="34" t="str">
        <x:v>保持当前盟，减少迁移成本</x:v>
      </x:c>
      <x:c r="AA237" s="55" t="str">
        <x:v>六维未匹配</x:v>
      </x:c>
    </x:row>
    <x:row r="238" ht="20" customHeight="1">
      <x:c r="A238" s="46" t="n">
        <x:v>145</x:v>
      </x:c>
      <x:c r="B238" s="27" t="str">
        <x:v>龙之叶</x:v>
      </x:c>
      <x:c r="C238" s="49" t="str">
        <x:v>玲珑</x:v>
      </x:c>
      <x:c r="D238" s="49" t="str">
        <x:v>玲珑</x:v>
      </x:c>
      <x:c r="E238" s="49" t="str">
        <x:v>留盟</x:v>
      </x:c>
      <x:c r="F238" s="49" t="str">
        <x:v>兰亭</x:v>
      </x:c>
      <x:c r="G238" s="49" t="str">
        <x:v>兰亭</x:v>
      </x:c>
      <x:c r="H238" s="37" t="n">
        <x:v>26.7</x:v>
      </x:c>
      <x:c r="I238" s="37" t="n">
        <x:v>26.7</x:v>
      </x:c>
      <x:c r="J238" s="40" t="n">
        <x:v>765</x:v>
      </x:c>
      <x:c r="K238" s="40" t="n">
        <x:v>776</x:v>
      </x:c>
      <x:c r="L238" s="40" t="n">
        <x:v>635</x:v>
      </x:c>
      <x:c r="M238" s="40" t="n">
        <x:v>492</x:v>
      </x:c>
      <x:c r="N238" s="40" t="n">
        <x:v>702</x:v>
      </x:c>
      <x:c r="O238" s="40" t="n">
        <x:v>608</x:v>
      </x:c>
      <x:c r="P238" s="40" t="n">
        <x:f>IF(COUNT(J238:O238)=0,"",SUM(J238:O238))</x:f>
        <x:v>3978</x:v>
      </x:c>
      <x:c r="Q238" s="40" t="n">
        <x:v>2017278972</x:v>
      </x:c>
      <x:c r="R238" s="40" t="n">
        <x:v>82158994</x:v>
      </x:c>
      <x:c r="S238" s="40" t="n">
        <x:v>307679188</x:v>
      </x:c>
      <x:c r="T238" s="40" t="n">
        <x:v>0</x:v>
      </x:c>
      <x:c r="U238" s="40" t="n">
        <x:v>36720</x:v>
      </x:c>
      <x:c r="V238" s="49" t="str">
        <x:v>宫阙3级</x:v>
      </x:c>
      <x:c r="W238" s="49" t="n">
        <x:v>3</x:v>
      </x:c>
      <x:c r="X238" s="52" t="n">
        <x:f>ROUND(100*(0.4*LN(1+Q238)/LN(1+MAX($Q$5:$Q$395))+0.35*R238/MAX($R$5:$R$395)+0.15*S238/MAX($S$5:$S$395)+IF(P238="",0,0.1*P238/MAX($P$5:$P$395)))/IF(P238="",0.9,1),1)</x:f>
        <x:v>73.1</x:v>
      </x:c>
      <x:c r="Y238" s="49" t="n">
        <x:f>RANK.EQ(X238,$X$5:$X$395,0)</x:f>
        <x:v>141</x:v>
      </x:c>
      <x:c r="Z238" s="34" t="str">
        <x:v>保持当前盟，减少迁移成本</x:v>
      </x:c>
      <x:c r="AA238" s="55"/>
    </x:row>
    <x:row r="239" ht="20" customHeight="1">
      <x:c r="A239" s="46" t="n">
        <x:v>155</x:v>
      </x:c>
      <x:c r="B239" s="27" t="str">
        <x:v>白水诗</x:v>
      </x:c>
      <x:c r="C239" s="49" t="str">
        <x:v>玲珑</x:v>
      </x:c>
      <x:c r="D239" s="49" t="str">
        <x:v>玲珑</x:v>
      </x:c>
      <x:c r="E239" s="49" t="str">
        <x:v>留盟</x:v>
      </x:c>
      <x:c r="F239" s="49" t="str"/>
      <x:c r="G239" s="49"/>
      <x:c r="H239" s="37" t="n">
        <x:v>28.8</x:v>
      </x:c>
      <x:c r="I239" s="37" t="n">
        <x:v>28.6</x:v>
      </x:c>
      <x:c r="J239" s="40" t="n">
        <x:v>756</x:v>
      </x:c>
      <x:c r="K239" s="40" t="n">
        <x:v>866</x:v>
      </x:c>
      <x:c r="L239" s="40" t="n">
        <x:v>649</x:v>
      </x:c>
      <x:c r="M239" s="40" t="n">
        <x:v>451</x:v>
      </x:c>
      <x:c r="N239" s="40" t="n">
        <x:v>804</x:v>
      </x:c>
      <x:c r="O239" s="40" t="n">
        <x:v>763</x:v>
      </x:c>
      <x:c r="P239" s="40" t="n">
        <x:f>IF(COUNT(J239:O239)=0,"",SUM(J239:O239))</x:f>
        <x:v>4289</x:v>
      </x:c>
      <x:c r="Q239" s="40" t="n">
        <x:v>1299398240</x:v>
      </x:c>
      <x:c r="R239" s="40" t="n">
        <x:v>80655688</x:v>
      </x:c>
      <x:c r="S239" s="40" t="n">
        <x:v>297241491</x:v>
      </x:c>
      <x:c r="T239" s="40" t="n">
        <x:v>0</x:v>
      </x:c>
      <x:c r="U239" s="40" t="n">
        <x:v>82080</x:v>
      </x:c>
      <x:c r="V239" s="49" t="str">
        <x:v>宫阙3级</x:v>
      </x:c>
      <x:c r="W239" s="49" t="n">
        <x:v>3</x:v>
      </x:c>
      <x:c r="X239" s="52" t="n">
        <x:f>ROUND(100*(0.4*LN(1+Q239)/LN(1+MAX($Q$5:$Q$395))+0.35*R239/MAX($R$5:$R$395)+0.15*S239/MAX($S$5:$S$395)+IF(P239="",0,0.1*P239/MAX($P$5:$P$395)))/IF(P239="",0.9,1),1)</x:f>
        <x:v>72.1</x:v>
      </x:c>
      <x:c r="Y239" s="49" t="n">
        <x:f>RANK.EQ(X239,$X$5:$X$395,0)</x:f>
        <x:v>162</x:v>
      </x:c>
      <x:c r="Z239" s="34" t="str">
        <x:v>保持当前盟，减少迁移成本</x:v>
      </x:c>
      <x:c r="AA239" s="55"/>
    </x:row>
    <x:row r="240" ht="20" customHeight="1">
      <x:c r="A240" s="46" t="n">
        <x:v>117</x:v>
      </x:c>
      <x:c r="B240" s="27" t="str">
        <x:v>飞马盗</x:v>
      </x:c>
      <x:c r="C240" s="49" t="str">
        <x:v>玲珑</x:v>
      </x:c>
      <x:c r="D240" s="49" t="str">
        <x:v>玲珑</x:v>
      </x:c>
      <x:c r="E240" s="49" t="str">
        <x:v>留盟</x:v>
      </x:c>
      <x:c r="F240" s="49" t="str">
        <x:v>兰亭</x:v>
      </x:c>
      <x:c r="G240" s="49" t="str">
        <x:v>兰亭</x:v>
      </x:c>
      <x:c r="H240" s="37" t="n">
        <x:v>27.3</x:v>
      </x:c>
      <x:c r="I240" s="37" t="n">
        <x:v>27.3</x:v>
      </x:c>
      <x:c r="J240" s="40" t="n">
        <x:v>721</x:v>
      </x:c>
      <x:c r="K240" s="40" t="n">
        <x:v>769</x:v>
      </x:c>
      <x:c r="L240" s="40" t="n">
        <x:v>602</x:v>
      </x:c>
      <x:c r="M240" s="40" t="n">
        <x:v>486</x:v>
      </x:c>
      <x:c r="N240" s="40" t="n">
        <x:v>655</x:v>
      </x:c>
      <x:c r="O240" s="40" t="n">
        <x:v>685</x:v>
      </x:c>
      <x:c r="P240" s="40" t="n">
        <x:f>IF(COUNT(J240:O240)=0,"",SUM(J240:O240))</x:f>
        <x:v>3918</x:v>
      </x:c>
      <x:c r="Q240" s="40" t="n">
        <x:v>4902341818</x:v>
      </x:c>
      <x:c r="R240" s="40" t="n">
        <x:v>76993463</x:v>
      </x:c>
      <x:c r="S240" s="40" t="n">
        <x:v>258974231</x:v>
      </x:c>
      <x:c r="T240" s="40" t="n">
        <x:v>0</x:v>
      </x:c>
      <x:c r="U240" s="40" t="n">
        <x:v>106080</x:v>
      </x:c>
      <x:c r="V240" s="49" t="str">
        <x:v>宫阙3级</x:v>
      </x:c>
      <x:c r="W240" s="49" t="n">
        <x:v>3</x:v>
      </x:c>
      <x:c r="X240" s="52" t="n">
        <x:f>ROUND(100*(0.4*LN(1+Q240)/LN(1+MAX($Q$5:$Q$395))+0.35*R240/MAX($R$5:$R$395)+0.15*S240/MAX($S$5:$S$395)+IF(P240="",0,0.1*P240/MAX($P$5:$P$395)))/IF(P240="",0.9,1),1)</x:f>
        <x:v>71.8</x:v>
      </x:c>
      <x:c r="Y240" s="49" t="n">
        <x:f>RANK.EQ(X240,$X$5:$X$395,0)</x:f>
        <x:v>170</x:v>
      </x:c>
      <x:c r="Z240" s="34" t="str">
        <x:v>保持当前盟，减少迁移成本</x:v>
      </x:c>
      <x:c r="AA240" s="55"/>
    </x:row>
    <x:row r="241" ht="20" customHeight="1">
      <x:c r="A241" s="46" t="n">
        <x:v>138</x:v>
      </x:c>
      <x:c r="B241" s="27" t="str">
        <x:v>七言哥哥</x:v>
      </x:c>
      <x:c r="C241" s="49" t="str">
        <x:v>玲珑</x:v>
      </x:c>
      <x:c r="D241" s="49" t="str">
        <x:v>玲珑</x:v>
      </x:c>
      <x:c r="E241" s="49" t="str">
        <x:v>留盟</x:v>
      </x:c>
      <x:c r="F241" s="49" t="str"/>
      <x:c r="G241" s="49" t="str">
        <x:v>兰亭</x:v>
      </x:c>
      <x:c r="H241" s="37" t="n">
        <x:v>27.8</x:v>
      </x:c>
      <x:c r="I241" s="37" t="n">
        <x:v>27.8</x:v>
      </x:c>
      <x:c r="J241" s="40" t="n">
        <x:v>650</x:v>
      </x:c>
      <x:c r="K241" s="40" t="n">
        <x:v>700</x:v>
      </x:c>
      <x:c r="L241" s="40" t="n">
        <x:v>580</x:v>
      </x:c>
      <x:c r="M241" s="40" t="n">
        <x:v>590</x:v>
      </x:c>
      <x:c r="N241" s="40" t="n">
        <x:v>650</x:v>
      </x:c>
      <x:c r="O241" s="40" t="n">
        <x:v>500</x:v>
      </x:c>
      <x:c r="P241" s="40" t="n">
        <x:f>IF(COUNT(J241:O241)=0,"",SUM(J241:O241))</x:f>
        <x:v>3670</x:v>
      </x:c>
      <x:c r="Q241" s="40" t="n">
        <x:v>2370229836</x:v>
      </x:c>
      <x:c r="R241" s="40" t="n">
        <x:v>87463238</x:v>
      </x:c>
      <x:c r="S241" s="40" t="n">
        <x:v>220977063</x:v>
      </x:c>
      <x:c r="T241" s="40" t="n">
        <x:v>0</x:v>
      </x:c>
      <x:c r="U241" s="40" t="n">
        <x:v>111440</x:v>
      </x:c>
      <x:c r="V241" s="49" t="str">
        <x:v>宫阙3级</x:v>
      </x:c>
      <x:c r="W241" s="49" t="n">
        <x:v>3</x:v>
      </x:c>
      <x:c r="X241" s="52" t="n">
        <x:f>ROUND(100*(0.4*LN(1+Q241)/LN(1+MAX($Q$5:$Q$395))+0.35*R241/MAX($R$5:$R$395)+0.15*S241/MAX($S$5:$S$395)+IF(P241="",0,0.1*P241/MAX($P$5:$P$395)))/IF(P241="",0.9,1),1)</x:f>
        <x:v>71.7</x:v>
      </x:c>
      <x:c r="Y241" s="49" t="n">
        <x:f>RANK.EQ(X241,$X$5:$X$395,0)</x:f>
        <x:v>172</x:v>
      </x:c>
      <x:c r="Z241" s="34" t="str">
        <x:v>保持当前盟，减少迁移成本</x:v>
      </x:c>
      <x:c r="AA241" s="55"/>
    </x:row>
    <x:row r="242" ht="20" customHeight="1">
      <x:c r="A242" s="46" t="n">
        <x:v>162</x:v>
      </x:c>
      <x:c r="B242" s="27" t="str">
        <x:v>我就是大饼</x:v>
      </x:c>
      <x:c r="C242" s="49" t="str">
        <x:v>玲珑</x:v>
      </x:c>
      <x:c r="D242" s="49" t="str">
        <x:v>玲珑</x:v>
      </x:c>
      <x:c r="E242" s="49" t="str">
        <x:v>留盟</x:v>
      </x:c>
      <x:c r="F242" s="49" t="str">
        <x:v>兰亭</x:v>
      </x:c>
      <x:c r="G242" s="49" t="str">
        <x:v>兰亭</x:v>
      </x:c>
      <x:c r="H242" s="37" t="n">
        <x:v>24.6</x:v>
      </x:c>
      <x:c r="I242" s="37" t="n">
        <x:v>24.6</x:v>
      </x:c>
      <x:c r="J242" s="40" t="n">
        <x:v>670</x:v>
      </x:c>
      <x:c r="K242" s="40" t="n">
        <x:v>750</x:v>
      </x:c>
      <x:c r="L242" s="40" t="n">
        <x:v>610</x:v>
      </x:c>
      <x:c r="M242" s="40" t="n">
        <x:v>570</x:v>
      </x:c>
      <x:c r="N242" s="40" t="n">
        <x:v>710</x:v>
      </x:c>
      <x:c r="O242" s="40" t="n">
        <x:v>585</x:v>
      </x:c>
      <x:c r="P242" s="40" t="n">
        <x:f>IF(COUNT(J242:O242)=0,"",SUM(J242:O242))</x:f>
        <x:v>3895</x:v>
      </x:c>
      <x:c r="Q242" s="40" t="n">
        <x:v>719607622</x:v>
      </x:c>
      <x:c r="R242" s="40" t="n">
        <x:v>83370778</x:v>
      </x:c>
      <x:c r="S242" s="40" t="n">
        <x:v>311078075</x:v>
      </x:c>
      <x:c r="T242" s="40" t="n">
        <x:v>0</x:v>
      </x:c>
      <x:c r="U242" s="40" t="n">
        <x:v>98400</x:v>
      </x:c>
      <x:c r="V242" s="49" t="str">
        <x:v>宫阙3级</x:v>
      </x:c>
      <x:c r="W242" s="49" t="n">
        <x:v>3</x:v>
      </x:c>
      <x:c r="X242" s="52" t="n">
        <x:f>ROUND(100*(0.4*LN(1+Q242)/LN(1+MAX($Q$5:$Q$395))+0.35*R242/MAX($R$5:$R$395)+0.15*S242/MAX($S$5:$S$395)+IF(P242="",0,0.1*P242/MAX($P$5:$P$395)))/IF(P242="",0.9,1),1)</x:f>
        <x:v>71.6</x:v>
      </x:c>
      <x:c r="Y242" s="49" t="n">
        <x:f>RANK.EQ(X242,$X$5:$X$395,0)</x:f>
        <x:v>174</x:v>
      </x:c>
      <x:c r="Z242" s="34" t="str">
        <x:v>保持当前盟，减少迁移成本</x:v>
      </x:c>
      <x:c r="AA242" s="55"/>
    </x:row>
    <x:row r="243" ht="20" customHeight="1">
      <x:c r="A243" s="46" t="n">
        <x:v>153</x:v>
      </x:c>
      <x:c r="B243" s="27" t="str">
        <x:v>挨刀阿倩倩</x:v>
      </x:c>
      <x:c r="C243" s="49" t="str">
        <x:v>玲珑</x:v>
      </x:c>
      <x:c r="D243" s="49" t="str">
        <x:v>玲珑</x:v>
      </x:c>
      <x:c r="E243" s="49" t="str">
        <x:v>留盟</x:v>
      </x:c>
      <x:c r="F243" s="49" t="str"/>
      <x:c r="G243" s="49"/>
      <x:c r="H243" s="37"/>
      <x:c r="I243" s="37"/>
      <x:c r="J243" s="40"/>
      <x:c r="K243" s="40"/>
      <x:c r="L243" s="40"/>
      <x:c r="M243" s="40"/>
      <x:c r="N243" s="40"/>
      <x:c r="O243" s="40"/>
      <x:c r="P243" s="40" t="str">
        <x:f>IF(COUNT(J243:O243)=0,"",SUM(J243:O243))</x:f>
      </x:c>
      <x:c r="Q243" s="40" t="n">
        <x:v>1384775388</x:v>
      </x:c>
      <x:c r="R243" s="40" t="n">
        <x:v>78460271</x:v>
      </x:c>
      <x:c r="S243" s="40" t="n">
        <x:v>264231404</x:v>
      </x:c>
      <x:c r="T243" s="40" t="n">
        <x:v>0</x:v>
      </x:c>
      <x:c r="U243" s="40" t="n">
        <x:v>78920</x:v>
      </x:c>
      <x:c r="V243" s="49" t="str">
        <x:v>宫阙3级</x:v>
      </x:c>
      <x:c r="W243" s="49" t="n">
        <x:v>3</x:v>
      </x:c>
      <x:c r="X243" s="52" t="n">
        <x:f>ROUND(100*(0.4*LN(1+Q243)/LN(1+MAX($Q$5:$Q$395))+0.35*R243/MAX($R$5:$R$395)+0.15*S243/MAX($S$5:$S$395)+IF(P243="",0,0.1*P243/MAX($P$5:$P$395)))/IF(P243="",0.9,1),1)</x:f>
        <x:v>71.1</x:v>
      </x:c>
      <x:c r="Y243" s="49" t="n">
        <x:f>RANK.EQ(X243,$X$5:$X$395,0)</x:f>
        <x:v>186</x:v>
      </x:c>
      <x:c r="Z243" s="34" t="str">
        <x:v>保持当前盟，减少迁移成本</x:v>
      </x:c>
      <x:c r="AA243" s="55" t="str">
        <x:v>六维未匹配</x:v>
      </x:c>
    </x:row>
    <x:row r="244" ht="20" customHeight="1">
      <x:c r="A244" s="46" t="n">
        <x:v>170</x:v>
      </x:c>
      <x:c r="B244" s="27" t="str">
        <x:v>桃花灼灼</x:v>
      </x:c>
      <x:c r="C244" s="49" t="str">
        <x:v>玲珑</x:v>
      </x:c>
      <x:c r="D244" s="49" t="str">
        <x:v>玲珑</x:v>
      </x:c>
      <x:c r="E244" s="49" t="str">
        <x:v>留盟</x:v>
      </x:c>
      <x:c r="F244" s="49" t="str"/>
      <x:c r="G244" s="49" t="str">
        <x:v>玲珑</x:v>
      </x:c>
      <x:c r="H244" s="37" t="n">
        <x:v>27.9</x:v>
      </x:c>
      <x:c r="I244" s="37" t="n">
        <x:v>27.9</x:v>
      </x:c>
      <x:c r="J244" s="40" t="n">
        <x:v>731</x:v>
      </x:c>
      <x:c r="K244" s="40" t="n">
        <x:v>871</x:v>
      </x:c>
      <x:c r="L244" s="40" t="n">
        <x:v>573</x:v>
      </x:c>
      <x:c r="M244" s="40" t="n">
        <x:v>459</x:v>
      </x:c>
      <x:c r="N244" s="40" t="n">
        <x:v>655</x:v>
      </x:c>
      <x:c r="O244" s="40" t="n">
        <x:v>647</x:v>
      </x:c>
      <x:c r="P244" s="40" t="n">
        <x:f>IF(COUNT(J244:O244)=0,"",SUM(J244:O244))</x:f>
        <x:v>3936</x:v>
      </x:c>
      <x:c r="Q244" s="40" t="n">
        <x:v>428683826</x:v>
      </x:c>
      <x:c r="R244" s="40" t="n">
        <x:v>87166825</x:v>
      </x:c>
      <x:c r="S244" s="40" t="n">
        <x:v>284001189</x:v>
      </x:c>
      <x:c r="T244" s="40" t="n">
        <x:v>0</x:v>
      </x:c>
      <x:c r="U244" s="40" t="n">
        <x:v>72240</x:v>
      </x:c>
      <x:c r="V244" s="49" t="str">
        <x:v>宫阙3级</x:v>
      </x:c>
      <x:c r="W244" s="49" t="n">
        <x:v>3</x:v>
      </x:c>
      <x:c r="X244" s="52" t="n">
        <x:f>ROUND(100*(0.4*LN(1+Q244)/LN(1+MAX($Q$5:$Q$395))+0.35*R244/MAX($R$5:$R$395)+0.15*S244/MAX($S$5:$S$395)+IF(P244="",0,0.1*P244/MAX($P$5:$P$395)))/IF(P244="",0.9,1),1)</x:f>
        <x:v>71</x:v>
      </x:c>
      <x:c r="Y244" s="49" t="n">
        <x:f>RANK.EQ(X244,$X$5:$X$395,0)</x:f>
        <x:v>188</x:v>
      </x:c>
      <x:c r="Z244" s="34" t="str">
        <x:v>保持当前盟，减少迁移成本</x:v>
      </x:c>
      <x:c r="AA244" s="55"/>
    </x:row>
    <x:row r="245" ht="20" customHeight="1">
      <x:c r="A245" s="46" t="n">
        <x:v>150</x:v>
      </x:c>
      <x:c r="B245" s="27" t="str">
        <x:v>咳咳咳</x:v>
      </x:c>
      <x:c r="C245" s="49" t="str">
        <x:v>玲珑</x:v>
      </x:c>
      <x:c r="D245" s="49" t="str">
        <x:v>玲珑</x:v>
      </x:c>
      <x:c r="E245" s="49" t="str">
        <x:v>留盟</x:v>
      </x:c>
      <x:c r="F245" s="49" t="str"/>
      <x:c r="G245" s="49"/>
      <x:c r="H245" s="37"/>
      <x:c r="I245" s="37"/>
      <x:c r="J245" s="40"/>
      <x:c r="K245" s="40"/>
      <x:c r="L245" s="40"/>
      <x:c r="M245" s="40"/>
      <x:c r="N245" s="40"/>
      <x:c r="O245" s="40"/>
      <x:c r="P245" s="40" t="str">
        <x:f>IF(COUNT(J245:O245)=0,"",SUM(J245:O245))</x:f>
      </x:c>
      <x:c r="Q245" s="40" t="n">
        <x:v>1601005442</x:v>
      </x:c>
      <x:c r="R245" s="40" t="n">
        <x:v>79605159</x:v>
      </x:c>
      <x:c r="S245" s="40" t="n">
        <x:v>239694220</x:v>
      </x:c>
      <x:c r="T245" s="40" t="n">
        <x:v>0</x:v>
      </x:c>
      <x:c r="U245" s="40" t="n">
        <x:v>110400</x:v>
      </x:c>
      <x:c r="V245" s="49" t="str">
        <x:v>宫阙3级</x:v>
      </x:c>
      <x:c r="W245" s="49" t="n">
        <x:v>4</x:v>
      </x:c>
      <x:c r="X245" s="52" t="n">
        <x:f>ROUND(100*(0.4*LN(1+Q245)/LN(1+MAX($Q$5:$Q$395))+0.35*R245/MAX($R$5:$R$395)+0.15*S245/MAX($S$5:$S$395)+IF(P245="",0,0.1*P245/MAX($P$5:$P$395)))/IF(P245="",0.9,1),1)</x:f>
        <x:v>70.9</x:v>
      </x:c>
      <x:c r="Y245" s="49" t="n">
        <x:f>RANK.EQ(X245,$X$5:$X$395,0)</x:f>
        <x:v>190</x:v>
      </x:c>
      <x:c r="Z245" s="34" t="str">
        <x:v>保持当前盟，减少迁移成本</x:v>
      </x:c>
      <x:c r="AA245" s="55" t="str">
        <x:v>六维未匹配</x:v>
      </x:c>
    </x:row>
    <x:row r="246" ht="20" customHeight="1">
      <x:c r="A246" s="46" t="n">
        <x:v>132</x:v>
      </x:c>
      <x:c r="B246" s="27" t="str">
        <x:v>毛大王</x:v>
      </x:c>
      <x:c r="C246" s="49" t="str">
        <x:v>玲珑</x:v>
      </x:c>
      <x:c r="D246" s="49" t="str">
        <x:v>玲珑</x:v>
      </x:c>
      <x:c r="E246" s="49" t="str">
        <x:v>留盟</x:v>
      </x:c>
      <x:c r="F246" s="49" t="str">
        <x:v>兰亭</x:v>
      </x:c>
      <x:c r="G246" s="49" t="str">
        <x:v>兰亭</x:v>
      </x:c>
      <x:c r="H246" s="37" t="n">
        <x:v>28.8</x:v>
      </x:c>
      <x:c r="I246" s="37" t="n">
        <x:v>27.8</x:v>
      </x:c>
      <x:c r="J246" s="40" t="n">
        <x:v>686</x:v>
      </x:c>
      <x:c r="K246" s="40" t="n">
        <x:v>699</x:v>
      </x:c>
      <x:c r="L246" s="40" t="n">
        <x:v>520</x:v>
      </x:c>
      <x:c r="M246" s="40" t="n">
        <x:v>439</x:v>
      </x:c>
      <x:c r="N246" s="40" t="n">
        <x:v>700</x:v>
      </x:c>
      <x:c r="O246" s="40" t="n">
        <x:v>595</x:v>
      </x:c>
      <x:c r="P246" s="40" t="n">
        <x:f>IF(COUNT(J246:O246)=0,"",SUM(J246:O246))</x:f>
        <x:v>3639</x:v>
      </x:c>
      <x:c r="Q246" s="40" t="n">
        <x:v>2927714536</x:v>
      </x:c>
      <x:c r="R246" s="40" t="n">
        <x:v>80240035</x:v>
      </x:c>
      <x:c r="S246" s="40" t="n">
        <x:v>243299785</x:v>
      </x:c>
      <x:c r="T246" s="40" t="n">
        <x:v>0</x:v>
      </x:c>
      <x:c r="U246" s="40" t="n">
        <x:v>90960</x:v>
      </x:c>
      <x:c r="V246" s="49" t="str">
        <x:v>宫阙3级</x:v>
      </x:c>
      <x:c r="W246" s="49" t="n">
        <x:v>3</x:v>
      </x:c>
      <x:c r="X246" s="52" t="n">
        <x:f>ROUND(100*(0.4*LN(1+Q246)/LN(1+MAX($Q$5:$Q$395))+0.35*R246/MAX($R$5:$R$395)+0.15*S246/MAX($S$5:$S$395)+IF(P246="",0,0.1*P246/MAX($P$5:$P$395)))/IF(P246="",0.9,1),1)</x:f>
        <x:v>70.8</x:v>
      </x:c>
      <x:c r="Y246" s="49" t="n">
        <x:f>RANK.EQ(X246,$X$5:$X$395,0)</x:f>
        <x:v>192</x:v>
      </x:c>
      <x:c r="Z246" s="34" t="str">
        <x:v>保持当前盟，减少迁移成本</x:v>
      </x:c>
      <x:c r="AA246" s="55"/>
    </x:row>
    <x:row r="247" ht="20" customHeight="1">
      <x:c r="A247" s="46" t="n">
        <x:v>146</x:v>
      </x:c>
      <x:c r="B247" s="27" t="str">
        <x:v>蓝天予我</x:v>
      </x:c>
      <x:c r="C247" s="49" t="str">
        <x:v>玲珑</x:v>
      </x:c>
      <x:c r="D247" s="49" t="str">
        <x:v>玲珑</x:v>
      </x:c>
      <x:c r="E247" s="49" t="str">
        <x:v>留盟</x:v>
      </x:c>
      <x:c r="F247" s="49" t="str"/>
      <x:c r="G247" s="49"/>
      <x:c r="H247" s="37"/>
      <x:c r="I247" s="37"/>
      <x:c r="J247" s="40"/>
      <x:c r="K247" s="40"/>
      <x:c r="L247" s="40"/>
      <x:c r="M247" s="40"/>
      <x:c r="N247" s="40"/>
      <x:c r="O247" s="40"/>
      <x:c r="P247" s="40" t="str">
        <x:f>IF(COUNT(J247:O247)=0,"",SUM(J247:O247))</x:f>
      </x:c>
      <x:c r="Q247" s="40" t="n">
        <x:v>1828839692</x:v>
      </x:c>
      <x:c r="R247" s="40" t="n">
        <x:v>76105712</x:v>
      </x:c>
      <x:c r="S247" s="40" t="n">
        <x:v>233474101</x:v>
      </x:c>
      <x:c r="T247" s="40" t="n">
        <x:v>0</x:v>
      </x:c>
      <x:c r="U247" s="40" t="n">
        <x:v>91680</x:v>
      </x:c>
      <x:c r="V247" s="49" t="str">
        <x:v>宫阙3级</x:v>
      </x:c>
      <x:c r="W247" s="49" t="n">
        <x:v>3</x:v>
      </x:c>
      <x:c r="X247" s="52" t="n">
        <x:f>ROUND(100*(0.4*LN(1+Q247)/LN(1+MAX($Q$5:$Q$395))+0.35*R247/MAX($R$5:$R$395)+0.15*S247/MAX($S$5:$S$395)+IF(P247="",0,0.1*P247/MAX($P$5:$P$395)))/IF(P247="",0.9,1),1)</x:f>
        <x:v>70</x:v>
      </x:c>
      <x:c r="Y247" s="49" t="n">
        <x:f>RANK.EQ(X247,$X$5:$X$395,0)</x:f>
        <x:v>207</x:v>
      </x:c>
      <x:c r="Z247" s="34" t="str">
        <x:v>保持当前盟，减少迁移成本</x:v>
      </x:c>
      <x:c r="AA247" s="55" t="str">
        <x:v>六维未匹配</x:v>
      </x:c>
    </x:row>
    <x:row r="248" ht="20" customHeight="1">
      <x:c r="A248" s="46" t="n">
        <x:v>176</x:v>
      </x:c>
      <x:c r="B248" s="27" t="str">
        <x:v>鬼麒主伏字曦</x:v>
      </x:c>
      <x:c r="C248" s="49" t="str">
        <x:v>玲珑</x:v>
      </x:c>
      <x:c r="D248" s="49" t="str">
        <x:v>玲珑</x:v>
      </x:c>
      <x:c r="E248" s="49" t="str">
        <x:v>留盟</x:v>
      </x:c>
      <x:c r="F248" s="49" t="str">
        <x:v>兰亭</x:v>
      </x:c>
      <x:c r="G248" s="49" t="str">
        <x:v>兰亭</x:v>
      </x:c>
      <x:c r="H248" s="37" t="n">
        <x:v>28.8</x:v>
      </x:c>
      <x:c r="I248" s="37" t="n">
        <x:v>28.8</x:v>
      </x:c>
      <x:c r="J248" s="40" t="n">
        <x:v>764</x:v>
      </x:c>
      <x:c r="K248" s="40" t="n">
        <x:v>862</x:v>
      </x:c>
      <x:c r="L248" s="40" t="n">
        <x:v>600</x:v>
      </x:c>
      <x:c r="M248" s="40" t="n">
        <x:v>528</x:v>
      </x:c>
      <x:c r="N248" s="40" t="n">
        <x:v>722</x:v>
      </x:c>
      <x:c r="O248" s="40" t="n">
        <x:v>759</x:v>
      </x:c>
      <x:c r="P248" s="40" t="n">
        <x:f>IF(COUNT(J248:O248)=0,"",SUM(J248:O248))</x:f>
        <x:v>4235</x:v>
      </x:c>
      <x:c r="Q248" s="40" t="n">
        <x:v>263385258</x:v>
      </x:c>
      <x:c r="R248" s="40" t="n">
        <x:v>83232761</x:v>
      </x:c>
      <x:c r="S248" s="40" t="n">
        <x:v>285945617</x:v>
      </x:c>
      <x:c r="T248" s="40" t="n">
        <x:v>0</x:v>
      </x:c>
      <x:c r="U248" s="40" t="n">
        <x:v>72960</x:v>
      </x:c>
      <x:c r="V248" s="49" t="str">
        <x:v>宫阙3级</x:v>
      </x:c>
      <x:c r="W248" s="49" t="n">
        <x:v>3</x:v>
      </x:c>
      <x:c r="X248" s="52" t="n">
        <x:f>ROUND(100*(0.4*LN(1+Q248)/LN(1+MAX($Q$5:$Q$395))+0.35*R248/MAX($R$5:$R$395)+0.15*S248/MAX($S$5:$S$395)+IF(P248="",0,0.1*P248/MAX($P$5:$P$395)))/IF(P248="",0.9,1),1)</x:f>
        <x:v>69.7</x:v>
      </x:c>
      <x:c r="Y248" s="49" t="n">
        <x:f>RANK.EQ(X248,$X$5:$X$395,0)</x:f>
        <x:v>211</x:v>
      </x:c>
      <x:c r="Z248" s="34" t="str">
        <x:v>保持当前盟，减少迁移成本</x:v>
      </x:c>
      <x:c r="AA248" s="55"/>
    </x:row>
    <x:row r="249" ht="20" customHeight="1">
      <x:c r="A249" s="46" t="n">
        <x:v>120</x:v>
      </x:c>
      <x:c r="B249" s="27" t="str">
        <x:v>晚安鸭</x:v>
      </x:c>
      <x:c r="C249" s="49" t="str">
        <x:v>玲珑</x:v>
      </x:c>
      <x:c r="D249" s="49" t="str">
        <x:v>玲珑</x:v>
      </x:c>
      <x:c r="E249" s="49" t="str">
        <x:v>留盟</x:v>
      </x:c>
      <x:c r="F249" s="49" t="str">
        <x:v>兰亭</x:v>
      </x:c>
      <x:c r="G249" s="49" t="str">
        <x:v>兰亭</x:v>
      </x:c>
      <x:c r="H249" s="37" t="n">
        <x:v>26.7</x:v>
      </x:c>
      <x:c r="I249" s="37" t="n">
        <x:v>26.7</x:v>
      </x:c>
      <x:c r="J249" s="40" t="n">
        <x:v>696</x:v>
      </x:c>
      <x:c r="K249" s="40" t="n">
        <x:v>646</x:v>
      </x:c>
      <x:c r="L249" s="40" t="n">
        <x:v>623</x:v>
      </x:c>
      <x:c r="M249" s="40" t="n">
        <x:v>445</x:v>
      </x:c>
      <x:c r="N249" s="40" t="n">
        <x:v>690</x:v>
      </x:c>
      <x:c r="O249" s="40" t="n">
        <x:v>440</x:v>
      </x:c>
      <x:c r="P249" s="40" t="n">
        <x:f>IF(COUNT(J249:O249)=0,"",SUM(J249:O249))</x:f>
        <x:v>3540</x:v>
      </x:c>
      <x:c r="Q249" s="40" t="n">
        <x:v>4597801396</x:v>
      </x:c>
      <x:c r="R249" s="40" t="n">
        <x:v>76600598</x:v>
      </x:c>
      <x:c r="S249" s="40" t="n">
        <x:v>204658226</x:v>
      </x:c>
      <x:c r="T249" s="40" t="n">
        <x:v>0</x:v>
      </x:c>
      <x:c r="U249" s="40" t="n">
        <x:v>86560</x:v>
      </x:c>
      <x:c r="V249" s="49" t="str">
        <x:v>宫阙3级</x:v>
      </x:c>
      <x:c r="W249" s="49" t="n">
        <x:v>3</x:v>
      </x:c>
      <x:c r="X249" s="52" t="n">
        <x:f>ROUND(100*(0.4*LN(1+Q249)/LN(1+MAX($Q$5:$Q$395))+0.35*R249/MAX($R$5:$R$395)+0.15*S249/MAX($S$5:$S$395)+IF(P249="",0,0.1*P249/MAX($P$5:$P$395)))/IF(P249="",0.9,1),1)</x:f>
        <x:v>69.4</x:v>
      </x:c>
      <x:c r="Y249" s="49" t="n">
        <x:f>RANK.EQ(X249,$X$5:$X$395,0)</x:f>
        <x:v>214</x:v>
      </x:c>
      <x:c r="Z249" s="34" t="str">
        <x:v>保持当前盟，减少迁移成本</x:v>
      </x:c>
      <x:c r="AA249" s="55"/>
    </x:row>
    <x:row r="250" ht="20" customHeight="1">
      <x:c r="A250" s="46" t="n">
        <x:v>166</x:v>
      </x:c>
      <x:c r="B250" s="27" t="str">
        <x:v>取名为依</x:v>
      </x:c>
      <x:c r="C250" s="49" t="str">
        <x:v>玲珑</x:v>
      </x:c>
      <x:c r="D250" s="49" t="str">
        <x:v>玲珑</x:v>
      </x:c>
      <x:c r="E250" s="49" t="str">
        <x:v>留盟</x:v>
      </x:c>
      <x:c r="F250" s="49" t="str"/>
      <x:c r="G250" s="49"/>
      <x:c r="H250" s="37"/>
      <x:c r="I250" s="37"/>
      <x:c r="J250" s="40"/>
      <x:c r="K250" s="40"/>
      <x:c r="L250" s="40"/>
      <x:c r="M250" s="40"/>
      <x:c r="N250" s="40"/>
      <x:c r="O250" s="40"/>
      <x:c r="P250" s="40" t="str">
        <x:f>IF(COUNT(J250:O250)=0,"",SUM(J250:O250))</x:f>
      </x:c>
      <x:c r="Q250" s="40" t="n">
        <x:v>479436852</x:v>
      </x:c>
      <x:c r="R250" s="40" t="n">
        <x:v>79979370</x:v>
      </x:c>
      <x:c r="S250" s="40" t="n">
        <x:v>253770833</x:v>
      </x:c>
      <x:c r="T250" s="40" t="n">
        <x:v>0</x:v>
      </x:c>
      <x:c r="U250" s="40" t="n">
        <x:v>31440</x:v>
      </x:c>
      <x:c r="V250" s="49" t="str">
        <x:v>宫阙3级</x:v>
      </x:c>
      <x:c r="W250" s="49" t="n">
        <x:v>3</x:v>
      </x:c>
      <x:c r="X250" s="52" t="n">
        <x:f>ROUND(100*(0.4*LN(1+Q250)/LN(1+MAX($Q$5:$Q$395))+0.35*R250/MAX($R$5:$R$395)+0.15*S250/MAX($S$5:$S$395)+IF(P250="",0,0.1*P250/MAX($P$5:$P$395)))/IF(P250="",0.9,1),1)</x:f>
        <x:v>69.2</x:v>
      </x:c>
      <x:c r="Y250" s="49" t="n">
        <x:f>RANK.EQ(X250,$X$5:$X$395,0)</x:f>
        <x:v>217</x:v>
      </x:c>
      <x:c r="Z250" s="34" t="str">
        <x:v>保持当前盟，减少迁移成本</x:v>
      </x:c>
      <x:c r="AA250" s="55" t="str">
        <x:v>六维未匹配</x:v>
      </x:c>
    </x:row>
    <x:row r="251" ht="20" customHeight="1">
      <x:c r="A251" s="46" t="n">
        <x:v>177</x:v>
      </x:c>
      <x:c r="B251" s="27" t="str">
        <x:v>驭天成</x:v>
      </x:c>
      <x:c r="C251" s="49" t="str">
        <x:v>玲珑</x:v>
      </x:c>
      <x:c r="D251" s="49" t="str">
        <x:v>玲珑</x:v>
      </x:c>
      <x:c r="E251" s="49" t="str">
        <x:v>留盟</x:v>
      </x:c>
      <x:c r="F251" s="49" t="str"/>
      <x:c r="G251" s="49" t="str">
        <x:v>花晨</x:v>
      </x:c>
      <x:c r="H251" s="37" t="n">
        <x:v>25.3</x:v>
      </x:c>
      <x:c r="I251" s="37" t="n">
        <x:v>23.7</x:v>
      </x:c>
      <x:c r="J251" s="40"/>
      <x:c r="K251" s="40"/>
      <x:c r="L251" s="40"/>
      <x:c r="M251" s="40"/>
      <x:c r="N251" s="40"/>
      <x:c r="O251" s="40"/>
      <x:c r="P251" s="40" t="str">
        <x:f>IF(COUNT(J251:O251)=0,"",SUM(J251:O251))</x:f>
      </x:c>
      <x:c r="Q251" s="40" t="n">
        <x:v>200536358</x:v>
      </x:c>
      <x:c r="R251" s="40" t="n">
        <x:v>82378747</x:v>
      </x:c>
      <x:c r="S251" s="40" t="n">
        <x:v>278129329</x:v>
      </x:c>
      <x:c r="T251" s="40" t="n">
        <x:v>0</x:v>
      </x:c>
      <x:c r="U251" s="40" t="n">
        <x:v>80440</x:v>
      </x:c>
      <x:c r="V251" s="49" t="str">
        <x:v>宫阙3级</x:v>
      </x:c>
      <x:c r="W251" s="49" t="n">
        <x:v>3</x:v>
      </x:c>
      <x:c r="X251" s="52" t="n">
        <x:f>ROUND(100*(0.4*LN(1+Q251)/LN(1+MAX($Q$5:$Q$395))+0.35*R251/MAX($R$5:$R$395)+0.15*S251/MAX($S$5:$S$395)+IF(P251="",0,0.1*P251/MAX($P$5:$P$395)))/IF(P251="",0.9,1),1)</x:f>
        <x:v>69</x:v>
      </x:c>
      <x:c r="Y251" s="49" t="n">
        <x:f>RANK.EQ(X251,$X$5:$X$395,0)</x:f>
        <x:v>220</x:v>
      </x:c>
      <x:c r="Z251" s="34" t="str">
        <x:v>保持当前盟，减少迁移成本</x:v>
      </x:c>
      <x:c r="AA251" s="55"/>
    </x:row>
    <x:row r="252" ht="20" customHeight="1">
      <x:c r="A252" s="46" t="n">
        <x:v>159</x:v>
      </x:c>
      <x:c r="B252" s="27" t="str">
        <x:v>一碗吃不饱</x:v>
      </x:c>
      <x:c r="C252" s="49" t="str">
        <x:v>玲珑</x:v>
      </x:c>
      <x:c r="D252" s="49" t="str">
        <x:v>玲珑</x:v>
      </x:c>
      <x:c r="E252" s="49" t="str">
        <x:v>留盟</x:v>
      </x:c>
      <x:c r="F252" s="49" t="str"/>
      <x:c r="G252" s="49" t="str">
        <x:v>玲珑</x:v>
      </x:c>
      <x:c r="H252" s="37" t="n">
        <x:v>25.3</x:v>
      </x:c>
      <x:c r="I252" s="37" t="n">
        <x:v>25.3</x:v>
      </x:c>
      <x:c r="J252" s="40" t="n">
        <x:v>685</x:v>
      </x:c>
      <x:c r="K252" s="40" t="n">
        <x:v>668</x:v>
      </x:c>
      <x:c r="L252" s="40" t="n">
        <x:v>580</x:v>
      </x:c>
      <x:c r="M252" s="40" t="n">
        <x:v>444</x:v>
      </x:c>
      <x:c r="N252" s="40" t="n">
        <x:v>608</x:v>
      </x:c>
      <x:c r="O252" s="40" t="n">
        <x:v>616</x:v>
      </x:c>
      <x:c r="P252" s="40" t="n">
        <x:f>IF(COUNT(J252:O252)=0,"",SUM(J252:O252))</x:f>
        <x:v>3601</x:v>
      </x:c>
      <x:c r="Q252" s="40" t="n">
        <x:v>844262064</x:v>
      </x:c>
      <x:c r="R252" s="40" t="n">
        <x:v>76557669</x:v>
      </x:c>
      <x:c r="S252" s="40" t="n">
        <x:v>287026952</x:v>
      </x:c>
      <x:c r="T252" s="40" t="n">
        <x:v>0</x:v>
      </x:c>
      <x:c r="U252" s="40" t="n">
        <x:v>61680</x:v>
      </x:c>
      <x:c r="V252" s="49" t="str">
        <x:v>宫阙3级</x:v>
      </x:c>
      <x:c r="W252" s="49" t="n">
        <x:v>3</x:v>
      </x:c>
      <x:c r="X252" s="52" t="n">
        <x:f>ROUND(100*(0.4*LN(1+Q252)/LN(1+MAX($Q$5:$Q$395))+0.35*R252/MAX($R$5:$R$395)+0.15*S252/MAX($S$5:$S$395)+IF(P252="",0,0.1*P252/MAX($P$5:$P$395)))/IF(P252="",0.9,1),1)</x:f>
        <x:v>69</x:v>
      </x:c>
      <x:c r="Y252" s="49" t="n">
        <x:f>RANK.EQ(X252,$X$5:$X$395,0)</x:f>
        <x:v>220</x:v>
      </x:c>
      <x:c r="Z252" s="34" t="str">
        <x:v>保持当前盟，减少迁移成本</x:v>
      </x:c>
      <x:c r="AA252" s="55"/>
    </x:row>
    <x:row r="253" ht="20" customHeight="1">
      <x:c r="A253" s="46" t="n">
        <x:v>157</x:v>
      </x:c>
      <x:c r="B253" s="27" t="str">
        <x:v>好啊好啊</x:v>
      </x:c>
      <x:c r="C253" s="49" t="str">
        <x:v>玲珑</x:v>
      </x:c>
      <x:c r="D253" s="49" t="str">
        <x:v>玲珑</x:v>
      </x:c>
      <x:c r="E253" s="49" t="str">
        <x:v>留盟</x:v>
      </x:c>
      <x:c r="F253" s="49" t="str"/>
      <x:c r="G253" s="49"/>
      <x:c r="H253" s="37"/>
      <x:c r="I253" s="37"/>
      <x:c r="J253" s="40"/>
      <x:c r="K253" s="40"/>
      <x:c r="L253" s="40"/>
      <x:c r="M253" s="40"/>
      <x:c r="N253" s="40"/>
      <x:c r="O253" s="40"/>
      <x:c r="P253" s="40" t="str">
        <x:f>IF(COUNT(J253:O253)=0,"",SUM(J253:O253))</x:f>
      </x:c>
      <x:c r="Q253" s="40" t="n">
        <x:v>1094606282</x:v>
      </x:c>
      <x:c r="R253" s="40" t="n">
        <x:v>74510224</x:v>
      </x:c>
      <x:c r="S253" s="40" t="n">
        <x:v>243390857</x:v>
      </x:c>
      <x:c r="T253" s="40" t="n">
        <x:v>0</x:v>
      </x:c>
      <x:c r="U253" s="40" t="n">
        <x:v>82840</x:v>
      </x:c>
      <x:c r="V253" s="49" t="str">
        <x:v>宫阙3级</x:v>
      </x:c>
      <x:c r="W253" s="49" t="n">
        <x:v>3</x:v>
      </x:c>
      <x:c r="X253" s="52" t="n">
        <x:f>ROUND(100*(0.4*LN(1+Q253)/LN(1+MAX($Q$5:$Q$395))+0.35*R253/MAX($R$5:$R$395)+0.15*S253/MAX($S$5:$S$395)+IF(P253="",0,0.1*P253/MAX($P$5:$P$395)))/IF(P253="",0.9,1),1)</x:f>
        <x:v>68.9</x:v>
      </x:c>
      <x:c r="Y253" s="49" t="n">
        <x:f>RANK.EQ(X253,$X$5:$X$395,0)</x:f>
        <x:v>222</x:v>
      </x:c>
      <x:c r="Z253" s="34" t="str">
        <x:v>保持当前盟，减少迁移成本</x:v>
      </x:c>
      <x:c r="AA253" s="55" t="str">
        <x:v>六维未匹配</x:v>
      </x:c>
    </x:row>
    <x:row r="254" ht="20" customHeight="1">
      <x:c r="A254" s="46" t="n">
        <x:v>158</x:v>
      </x:c>
      <x:c r="B254" s="27" t="str">
        <x:v>来掌柜</x:v>
      </x:c>
      <x:c r="C254" s="49" t="str">
        <x:v>玲珑</x:v>
      </x:c>
      <x:c r="D254" s="49" t="str">
        <x:v>玲珑</x:v>
      </x:c>
      <x:c r="E254" s="49" t="str">
        <x:v>留盟</x:v>
      </x:c>
      <x:c r="F254" s="49" t="str"/>
      <x:c r="G254" s="49" t="str">
        <x:v>玲珑</x:v>
      </x:c>
      <x:c r="H254" s="37" t="n">
        <x:v>27</x:v>
      </x:c>
      <x:c r="I254" s="37" t="n">
        <x:v>27</x:v>
      </x:c>
      <x:c r="J254" s="40" t="n">
        <x:v>653</x:v>
      </x:c>
      <x:c r="K254" s="40" t="n">
        <x:v>704</x:v>
      </x:c>
      <x:c r="L254" s="40" t="n">
        <x:v>552</x:v>
      </x:c>
      <x:c r="M254" s="40" t="n">
        <x:v>338</x:v>
      </x:c>
      <x:c r="N254" s="40" t="n">
        <x:v>648</x:v>
      </x:c>
      <x:c r="O254" s="40" t="n">
        <x:v>694</x:v>
      </x:c>
      <x:c r="P254" s="40" t="n">
        <x:f>IF(COUNT(J254:O254)=0,"",SUM(J254:O254))</x:f>
        <x:v>3589</x:v>
      </x:c>
      <x:c r="Q254" s="40" t="n">
        <x:v>980508570</x:v>
      </x:c>
      <x:c r="R254" s="40" t="n">
        <x:v>75106412</x:v>
      </x:c>
      <x:c r="S254" s="40" t="n">
        <x:v>261850177</x:v>
      </x:c>
      <x:c r="T254" s="40" t="n">
        <x:v>0</x:v>
      </x:c>
      <x:c r="U254" s="40" t="n">
        <x:v>117240</x:v>
      </x:c>
      <x:c r="V254" s="49" t="str">
        <x:v>宫阙3级</x:v>
      </x:c>
      <x:c r="W254" s="49" t="n">
        <x:v>3</x:v>
      </x:c>
      <x:c r="X254" s="52" t="n">
        <x:f>ROUND(100*(0.4*LN(1+Q254)/LN(1+MAX($Q$5:$Q$395))+0.35*R254/MAX($R$5:$R$395)+0.15*S254/MAX($S$5:$S$395)+IF(P254="",0,0.1*P254/MAX($P$5:$P$395)))/IF(P254="",0.9,1),1)</x:f>
        <x:v>68.1</x:v>
      </x:c>
      <x:c r="Y254" s="49" t="n">
        <x:f>RANK.EQ(X254,$X$5:$X$395,0)</x:f>
        <x:v>233</x:v>
      </x:c>
      <x:c r="Z254" s="34" t="str">
        <x:v>保持当前盟，减少迁移成本</x:v>
      </x:c>
      <x:c r="AA254" s="55"/>
    </x:row>
    <x:row r="255" ht="20" customHeight="1">
      <x:c r="A255" s="46" t="n">
        <x:v>285</x:v>
      </x:c>
      <x:c r="B255" s="27" t="str">
        <x:v>醉开心</x:v>
      </x:c>
      <x:c r="C255" s="49" t="str">
        <x:v>兰亭</x:v>
      </x:c>
      <x:c r="D255" s="49" t="str">
        <x:v>玲珑</x:v>
      </x:c>
      <x:c r="E255" s="49" t="str">
        <x:v>兰亭→玲珑</x:v>
      </x:c>
      <x:c r="F255" s="49" t="str">
        <x:v>玲珑</x:v>
      </x:c>
      <x:c r="G255" s="49"/>
      <x:c r="H255" s="37"/>
      <x:c r="I255" s="37"/>
      <x:c r="J255" s="40"/>
      <x:c r="K255" s="40"/>
      <x:c r="L255" s="40"/>
      <x:c r="M255" s="40"/>
      <x:c r="N255" s="40"/>
      <x:c r="O255" s="40"/>
      <x:c r="P255" s="40" t="str">
        <x:f>IF(COUNT(J255:O255)=0,"",SUM(J255:O255))</x:f>
      </x:c>
      <x:c r="Q255" s="40" t="n">
        <x:v>876731487</x:v>
      </x:c>
      <x:c r="R255" s="40" t="n">
        <x:v>74439366</x:v>
      </x:c>
      <x:c r="S255" s="40" t="n">
        <x:v>229020100</x:v>
      </x:c>
      <x:c r="T255" s="40" t="n">
        <x:v>0</x:v>
      </x:c>
      <x:c r="U255" s="40" t="n">
        <x:v>57120</x:v>
      </x:c>
      <x:c r="V255" s="49" t="str">
        <x:v>宫阙3级</x:v>
      </x:c>
      <x:c r="W255" s="49" t="n">
        <x:v>3</x:v>
      </x:c>
      <x:c r="X255" s="52" t="n">
        <x:f>ROUND(100*(0.4*LN(1+Q255)/LN(1+MAX($Q$5:$Q$395))+0.35*R255/MAX($R$5:$R$395)+0.15*S255/MAX($S$5:$S$395)+IF(P255="",0,0.1*P255/MAX($P$5:$P$395)))/IF(P255="",0.9,1),1)</x:f>
        <x:v>68</x:v>
      </x:c>
      <x:c r="Y255" s="49" t="n">
        <x:f>RANK.EQ(X255,$X$5:$X$395,0)</x:f>
        <x:v>235</x:v>
      </x:c>
      <x:c r="Z255" s="34" t="str">
        <x:v>参考旧分配方案并结合容量调整</x:v>
      </x:c>
      <x:c r="AA255" s="55" t="str">
        <x:v>六维未匹配</x:v>
      </x:c>
    </x:row>
    <x:row r="256" ht="20" customHeight="1">
      <x:c r="A256" s="46" t="n">
        <x:v>274</x:v>
      </x:c>
      <x:c r="B256" s="27" t="str">
        <x:v>大哥的小弟</x:v>
      </x:c>
      <x:c r="C256" s="49" t="str">
        <x:v>兰亭</x:v>
      </x:c>
      <x:c r="D256" s="49" t="str">
        <x:v>玲珑</x:v>
      </x:c>
      <x:c r="E256" s="49" t="str">
        <x:v>兰亭→玲珑</x:v>
      </x:c>
      <x:c r="F256" s="49" t="str">
        <x:v>玲珑</x:v>
      </x:c>
      <x:c r="G256" s="49"/>
      <x:c r="H256" s="37"/>
      <x:c r="I256" s="37"/>
      <x:c r="J256" s="40"/>
      <x:c r="K256" s="40"/>
      <x:c r="L256" s="40"/>
      <x:c r="M256" s="40"/>
      <x:c r="N256" s="40"/>
      <x:c r="O256" s="40"/>
      <x:c r="P256" s="40" t="str">
        <x:f>IF(COUNT(J256:O256)=0,"",SUM(J256:O256))</x:f>
      </x:c>
      <x:c r="Q256" s="40" t="n">
        <x:v>1794717001</x:v>
      </x:c>
      <x:c r="R256" s="40" t="n">
        <x:v>67406190</x:v>
      </x:c>
      <x:c r="S256" s="40" t="n">
        <x:v>239762168</x:v>
      </x:c>
      <x:c r="T256" s="40" t="n">
        <x:v>0</x:v>
      </x:c>
      <x:c r="U256" s="40" t="n">
        <x:v>150480</x:v>
      </x:c>
      <x:c r="V256" s="49" t="str">
        <x:v>宫阙3级</x:v>
      </x:c>
      <x:c r="W256" s="49" t="n">
        <x:v>3</x:v>
      </x:c>
      <x:c r="X256" s="52" t="n">
        <x:f>ROUND(100*(0.4*LN(1+Q256)/LN(1+MAX($Q$5:$Q$395))+0.35*R256/MAX($R$5:$R$395)+0.15*S256/MAX($S$5:$S$395)+IF(P256="",0,0.1*P256/MAX($P$5:$P$395)))/IF(P256="",0.9,1),1)</x:f>
        <x:v>67.7</x:v>
      </x:c>
      <x:c r="Y256" s="49" t="n">
        <x:f>RANK.EQ(X256,$X$5:$X$395,0)</x:f>
        <x:v>239</x:v>
      </x:c>
      <x:c r="Z256" s="34" t="str">
        <x:v>参考旧分配方案并结合容量调整</x:v>
      </x:c>
      <x:c r="AA256" s="55" t="str">
        <x:v>六维未匹配</x:v>
      </x:c>
    </x:row>
    <x:row r="257" ht="20" customHeight="1">
      <x:c r="A257" s="46" t="n">
        <x:v>279</x:v>
      </x:c>
      <x:c r="B257" s="27" t="str">
        <x:v>王者农药</x:v>
      </x:c>
      <x:c r="C257" s="49" t="str">
        <x:v>兰亭</x:v>
      </x:c>
      <x:c r="D257" s="49" t="str">
        <x:v>玲珑</x:v>
      </x:c>
      <x:c r="E257" s="49" t="str">
        <x:v>兰亭→玲珑</x:v>
      </x:c>
      <x:c r="F257" s="49" t="str"/>
      <x:c r="G257" s="49"/>
      <x:c r="H257" s="37" t="n">
        <x:v>22.8</x:v>
      </x:c>
      <x:c r="I257" s="37" t="n">
        <x:v>22.8</x:v>
      </x:c>
      <x:c r="J257" s="40"/>
      <x:c r="K257" s="40"/>
      <x:c r="L257" s="40"/>
      <x:c r="M257" s="40"/>
      <x:c r="N257" s="40"/>
      <x:c r="O257" s="40"/>
      <x:c r="P257" s="40" t="str">
        <x:f>IF(COUNT(J257:O257)=0,"",SUM(J257:O257))</x:f>
      </x:c>
      <x:c r="Q257" s="40" t="n">
        <x:v>1245453583</x:v>
      </x:c>
      <x:c r="R257" s="40" t="n">
        <x:v>72933017</x:v>
      </x:c>
      <x:c r="S257" s="40" t="n">
        <x:v>208354872</x:v>
      </x:c>
      <x:c r="T257" s="40" t="n">
        <x:v>0</x:v>
      </x:c>
      <x:c r="U257" s="40" t="n">
        <x:v>120720</x:v>
      </x:c>
      <x:c r="V257" s="49" t="str">
        <x:v>宫阙2级</x:v>
      </x:c>
      <x:c r="W257" s="49" t="n">
        <x:v>2</x:v>
      </x:c>
      <x:c r="X257" s="52" t="n">
        <x:f>ROUND(100*(0.4*LN(1+Q257)/LN(1+MAX($Q$5:$Q$395))+0.35*R257/MAX($R$5:$R$395)+0.15*S257/MAX($S$5:$S$395)+IF(P257="",0,0.1*P257/MAX($P$5:$P$395)))/IF(P257="",0.9,1),1)</x:f>
        <x:v>67.5</x:v>
      </x:c>
      <x:c r="Y257" s="49" t="n">
        <x:f>RANK.EQ(X257,$X$5:$X$395,0)</x:f>
        <x:v>241</x:v>
      </x:c>
      <x:c r="Z257" s="34" t="str">
        <x:v>为一盟战斗重组和盟容量平衡进行对调</x:v>
      </x:c>
      <x:c r="AA257" s="55"/>
    </x:row>
    <x:row r="258" ht="20" customHeight="1">
      <x:c r="A258" s="46" t="n">
        <x:v>148</x:v>
      </x:c>
      <x:c r="B258" s="27" t="str">
        <x:v>周公瑾</x:v>
      </x:c>
      <x:c r="C258" s="49" t="str">
        <x:v>玲珑</x:v>
      </x:c>
      <x:c r="D258" s="49" t="str">
        <x:v>玲珑</x:v>
      </x:c>
      <x:c r="E258" s="49" t="str">
        <x:v>留盟</x:v>
      </x:c>
      <x:c r="F258" s="49" t="str"/>
      <x:c r="G258" s="49"/>
      <x:c r="H258" s="37"/>
      <x:c r="I258" s="37"/>
      <x:c r="J258" s="40"/>
      <x:c r="K258" s="40"/>
      <x:c r="L258" s="40"/>
      <x:c r="M258" s="40"/>
      <x:c r="N258" s="40"/>
      <x:c r="O258" s="40"/>
      <x:c r="P258" s="40" t="str">
        <x:f>IF(COUNT(J258:O258)=0,"",SUM(J258:O258))</x:f>
      </x:c>
      <x:c r="Q258" s="40" t="n">
        <x:v>1792365586</x:v>
      </x:c>
      <x:c r="R258" s="40" t="n">
        <x:v>79164419</x:v>
      </x:c>
      <x:c r="S258" s="40" t="n">
        <x:v>99305043</x:v>
      </x:c>
      <x:c r="T258" s="40" t="n">
        <x:v>0</x:v>
      </x:c>
      <x:c r="U258" s="40" t="n">
        <x:v>6960</x:v>
      </x:c>
      <x:c r="V258" s="49" t="str">
        <x:v>宫阙3级</x:v>
      </x:c>
      <x:c r="W258" s="49" t="n">
        <x:v>3</x:v>
      </x:c>
      <x:c r="X258" s="52" t="n">
        <x:f>ROUND(100*(0.4*LN(1+Q258)/LN(1+MAX($Q$5:$Q$395))+0.35*R258/MAX($R$5:$R$395)+0.15*S258/MAX($S$5:$S$395)+IF(P258="",0,0.1*P258/MAX($P$5:$P$395)))/IF(P258="",0.9,1),1)</x:f>
        <x:v>66.5</x:v>
      </x:c>
      <x:c r="Y258" s="49" t="n">
        <x:f>RANK.EQ(X258,$X$5:$X$395,0)</x:f>
        <x:v>247</x:v>
      </x:c>
      <x:c r="Z258" s="34" t="str">
        <x:v>保持当前盟，减少迁移成本</x:v>
      </x:c>
      <x:c r="AA258" s="55" t="str">
        <x:v>六维未匹配</x:v>
      </x:c>
    </x:row>
    <x:row r="259" ht="20" customHeight="1">
      <x:c r="A259" s="46" t="n">
        <x:v>178</x:v>
      </x:c>
      <x:c r="B259" s="27" t="str">
        <x:v>雨露漫漫</x:v>
      </x:c>
      <x:c r="C259" s="49" t="str">
        <x:v>玲珑</x:v>
      </x:c>
      <x:c r="D259" s="49" t="str">
        <x:v>玲珑</x:v>
      </x:c>
      <x:c r="E259" s="49" t="str">
        <x:v>留盟</x:v>
      </x:c>
      <x:c r="F259" s="49" t="str"/>
      <x:c r="G259" s="49" t="str">
        <x:v>玲珑</x:v>
      </x:c>
      <x:c r="H259" s="37" t="n">
        <x:v>28.8</x:v>
      </x:c>
      <x:c r="I259" s="37" t="n">
        <x:v>28.8</x:v>
      </x:c>
      <x:c r="J259" s="40" t="n">
        <x:v>728</x:v>
      </x:c>
      <x:c r="K259" s="40" t="n">
        <x:v>930</x:v>
      </x:c>
      <x:c r="L259" s="40" t="n">
        <x:v>603</x:v>
      </x:c>
      <x:c r="M259" s="40" t="n">
        <x:v>437</x:v>
      </x:c>
      <x:c r="N259" s="40" t="n">
        <x:v>658</x:v>
      </x:c>
      <x:c r="O259" s="40" t="n">
        <x:v>786</x:v>
      </x:c>
      <x:c r="P259" s="40" t="n">
        <x:f>IF(COUNT(J259:O259)=0,"",SUM(J259:O259))</x:f>
        <x:v>4142</x:v>
      </x:c>
      <x:c r="Q259" s="40" t="n">
        <x:v>198965152</x:v>
      </x:c>
      <x:c r="R259" s="40" t="n">
        <x:v>81666167</x:v>
      </x:c>
      <x:c r="S259" s="40" t="n">
        <x:v>211445593</x:v>
      </x:c>
      <x:c r="T259" s="40" t="n">
        <x:v>0</x:v>
      </x:c>
      <x:c r="U259" s="40" t="n">
        <x:v>82800</x:v>
      </x:c>
      <x:c r="V259" s="49" t="str">
        <x:v>宫阙3级</x:v>
      </x:c>
      <x:c r="W259" s="49" t="n">
        <x:v>3</x:v>
      </x:c>
      <x:c r="X259" s="52" t="n">
        <x:f>ROUND(100*(0.4*LN(1+Q259)/LN(1+MAX($Q$5:$Q$395))+0.35*R259/MAX($R$5:$R$395)+0.15*S259/MAX($S$5:$S$395)+IF(P259="",0,0.1*P259/MAX($P$5:$P$395)))/IF(P259="",0.9,1),1)</x:f>
        <x:v>66.5</x:v>
      </x:c>
      <x:c r="Y259" s="49" t="n">
        <x:f>RANK.EQ(X259,$X$5:$X$395,0)</x:f>
        <x:v>247</x:v>
      </x:c>
      <x:c r="Z259" s="34" t="str">
        <x:v>保持当前盟，减少迁移成本</x:v>
      </x:c>
      <x:c r="AA259" s="55"/>
    </x:row>
    <x:row r="260" ht="20" customHeight="1">
      <x:c r="A260" s="46" t="n">
        <x:v>293</x:v>
      </x:c>
      <x:c r="B260" s="27" t="str">
        <x:v>轻风飘雨</x:v>
      </x:c>
      <x:c r="C260" s="49" t="str">
        <x:v>兰亭</x:v>
      </x:c>
      <x:c r="D260" s="49" t="str">
        <x:v>玲珑</x:v>
      </x:c>
      <x:c r="E260" s="49" t="str">
        <x:v>兰亭→玲珑</x:v>
      </x:c>
      <x:c r="F260" s="49" t="str"/>
      <x:c r="G260" s="49"/>
      <x:c r="H260" s="37"/>
      <x:c r="I260" s="37"/>
      <x:c r="J260" s="40"/>
      <x:c r="K260" s="40"/>
      <x:c r="L260" s="40"/>
      <x:c r="M260" s="40"/>
      <x:c r="N260" s="40"/>
      <x:c r="O260" s="40"/>
      <x:c r="P260" s="40" t="str">
        <x:f>IF(COUNT(J260:O260)=0,"",SUM(J260:O260))</x:f>
      </x:c>
      <x:c r="Q260" s="40" t="n">
        <x:v>168036800</x:v>
      </x:c>
      <x:c r="R260" s="40" t="n">
        <x:v>76674530</x:v>
      </x:c>
      <x:c r="S260" s="40" t="n">
        <x:v>244476463</x:v>
      </x:c>
      <x:c r="T260" s="40" t="n">
        <x:v>0</x:v>
      </x:c>
      <x:c r="U260" s="40" t="n">
        <x:v>91440</x:v>
      </x:c>
      <x:c r="V260" s="49" t="str">
        <x:v>宫阙3级</x:v>
      </x:c>
      <x:c r="W260" s="49" t="n">
        <x:v>2</x:v>
      </x:c>
      <x:c r="X260" s="52" t="n">
        <x:f>ROUND(100*(0.4*LN(1+Q260)/LN(1+MAX($Q$5:$Q$395))+0.35*R260/MAX($R$5:$R$395)+0.15*S260/MAX($S$5:$S$395)+IF(P260="",0,0.1*P260/MAX($P$5:$P$395)))/IF(P260="",0.9,1),1)</x:f>
        <x:v>66</x:v>
      </x:c>
      <x:c r="Y260" s="49" t="n">
        <x:f>RANK.EQ(X260,$X$5:$X$395,0)</x:f>
        <x:v>251</x:v>
      </x:c>
      <x:c r="Z260" s="34" t="str">
        <x:v>为一盟战斗重组和盟容量平衡进行对调</x:v>
      </x:c>
      <x:c r="AA260" s="55" t="str">
        <x:v>六维未匹配</x:v>
      </x:c>
    </x:row>
    <x:row r="261" ht="20" customHeight="1">
      <x:c r="A261" s="46" t="n">
        <x:v>160</x:v>
      </x:c>
      <x:c r="B261" s="27" t="str">
        <x:v>知我意</x:v>
      </x:c>
      <x:c r="C261" s="49" t="str">
        <x:v>玲珑</x:v>
      </x:c>
      <x:c r="D261" s="49" t="str">
        <x:v>玲珑</x:v>
      </x:c>
      <x:c r="E261" s="49" t="str">
        <x:v>留盟</x:v>
      </x:c>
      <x:c r="F261" s="49" t="str"/>
      <x:c r="G261" s="49" t="str">
        <x:v>兰亭</x:v>
      </x:c>
      <x:c r="H261" s="37" t="n">
        <x:v>22</x:v>
      </x:c>
      <x:c r="I261" s="37" t="n">
        <x:v>19</x:v>
      </x:c>
      <x:c r="J261" s="40" t="n">
        <x:v>599</x:v>
      </x:c>
      <x:c r="K261" s="40" t="n">
        <x:v>518</x:v>
      </x:c>
      <x:c r="L261" s="40" t="n">
        <x:v>574</x:v>
      </x:c>
      <x:c r="M261" s="40" t="n">
        <x:v>556</x:v>
      </x:c>
      <x:c r="N261" s="40" t="n">
        <x:v>574</x:v>
      </x:c>
      <x:c r="O261" s="40" t="n">
        <x:v>450</x:v>
      </x:c>
      <x:c r="P261" s="40" t="n">
        <x:f>IF(COUNT(J261:O261)=0,"",SUM(J261:O261))</x:f>
        <x:v>3271</x:v>
      </x:c>
      <x:c r="Q261" s="40" t="n">
        <x:v>820130170</x:v>
      </x:c>
      <x:c r="R261" s="40" t="n">
        <x:v>72364856</x:v>
      </x:c>
      <x:c r="S261" s="40" t="n">
        <x:v>228755937</x:v>
      </x:c>
      <x:c r="T261" s="40" t="n">
        <x:v>0</x:v>
      </x:c>
      <x:c r="U261" s="40" t="n">
        <x:v>92680</x:v>
      </x:c>
      <x:c r="V261" s="49" t="str">
        <x:v>宫阙3级</x:v>
      </x:c>
      <x:c r="W261" s="49" t="n">
        <x:v>3</x:v>
      </x:c>
      <x:c r="X261" s="52" t="n">
        <x:f>ROUND(100*(0.4*LN(1+Q261)/LN(1+MAX($Q$5:$Q$395))+0.35*R261/MAX($R$5:$R$395)+0.15*S261/MAX($S$5:$S$395)+IF(P261="",0,0.1*P261/MAX($P$5:$P$395)))/IF(P261="",0.9,1),1)</x:f>
        <x:v>65.6</x:v>
      </x:c>
      <x:c r="Y261" s="49" t="n">
        <x:f>RANK.EQ(X261,$X$5:$X$395,0)</x:f>
        <x:v>253</x:v>
      </x:c>
      <x:c r="Z261" s="34" t="str">
        <x:v>保持当前盟，减少迁移成本</x:v>
      </x:c>
      <x:c r="AA261" s="55"/>
    </x:row>
    <x:row r="262" ht="20" customHeight="1">
      <x:c r="A262" s="46" t="n">
        <x:v>261</x:v>
      </x:c>
      <x:c r="B262" s="27" t="str">
        <x:v>统一全球</x:v>
      </x:c>
      <x:c r="C262" s="49" t="str">
        <x:v>兰亭</x:v>
      </x:c>
      <x:c r="D262" s="49" t="str">
        <x:v>玲珑</x:v>
      </x:c>
      <x:c r="E262" s="49" t="str">
        <x:v>兰亭→玲珑</x:v>
      </x:c>
      <x:c r="F262" s="49" t="str">
        <x:v>花晨</x:v>
      </x:c>
      <x:c r="G262" s="49"/>
      <x:c r="H262" s="37"/>
      <x:c r="I262" s="37"/>
      <x:c r="J262" s="40"/>
      <x:c r="K262" s="40"/>
      <x:c r="L262" s="40"/>
      <x:c r="M262" s="40"/>
      <x:c r="N262" s="40"/>
      <x:c r="O262" s="40"/>
      <x:c r="P262" s="40" t="str">
        <x:f>IF(COUNT(J262:O262)=0,"",SUM(J262:O262))</x:f>
      </x:c>
      <x:c r="Q262" s="40" t="n">
        <x:v>2863183380</x:v>
      </x:c>
      <x:c r="R262" s="40" t="n">
        <x:v>64374580</x:v>
      </x:c>
      <x:c r="S262" s="40" t="n">
        <x:v>175081773</x:v>
      </x:c>
      <x:c r="T262" s="40" t="n">
        <x:v>0</x:v>
      </x:c>
      <x:c r="U262" s="40" t="n">
        <x:v>170880</x:v>
      </x:c>
      <x:c r="V262" s="49" t="str">
        <x:v>宫阙3级</x:v>
      </x:c>
      <x:c r="W262" s="49" t="n">
        <x:v>3</x:v>
      </x:c>
      <x:c r="X262" s="52" t="n">
        <x:f>ROUND(100*(0.4*LN(1+Q262)/LN(1+MAX($Q$5:$Q$395))+0.35*R262/MAX($R$5:$R$395)+0.15*S262/MAX($S$5:$S$395)+IF(P262="",0,0.1*P262/MAX($P$5:$P$395)))/IF(P262="",0.9,1),1)</x:f>
        <x:v>65.6</x:v>
      </x:c>
      <x:c r="Y262" s="49" t="n">
        <x:f>RANK.EQ(X262,$X$5:$X$395,0)</x:f>
        <x:v>253</x:v>
      </x:c>
      <x:c r="Z262" s="34" t="str">
        <x:v>为一盟战斗重组和盟容量平衡进行对调</x:v>
      </x:c>
      <x:c r="AA262" s="55" t="str">
        <x:v>六维未匹配</x:v>
      </x:c>
    </x:row>
    <x:row r="263" ht="20" customHeight="1">
      <x:c r="A263" s="46" t="n">
        <x:v>291</x:v>
      </x:c>
      <x:c r="B263" s="27" t="str">
        <x:v>小马同学</x:v>
      </x:c>
      <x:c r="C263" s="49" t="str">
        <x:v>兰亭</x:v>
      </x:c>
      <x:c r="D263" s="49" t="str">
        <x:v>玲珑</x:v>
      </x:c>
      <x:c r="E263" s="49" t="str">
        <x:v>兰亭→玲珑</x:v>
      </x:c>
      <x:c r="F263" s="49" t="str">
        <x:v>玲珑</x:v>
      </x:c>
      <x:c r="G263" s="49" t="str">
        <x:v>兰亭</x:v>
      </x:c>
      <x:c r="H263" s="37" t="n">
        <x:v>26.4</x:v>
      </x:c>
      <x:c r="I263" s="37" t="n">
        <x:v>26.4</x:v>
      </x:c>
      <x:c r="J263" s="40" t="n">
        <x:v>678</x:v>
      </x:c>
      <x:c r="K263" s="40" t="n">
        <x:v>633</x:v>
      </x:c>
      <x:c r="L263" s="40" t="n">
        <x:v>697</x:v>
      </x:c>
      <x:c r="M263" s="40" t="n">
        <x:v>594</x:v>
      </x:c>
      <x:c r="N263" s="40" t="n">
        <x:v>678</x:v>
      </x:c>
      <x:c r="O263" s="40" t="n">
        <x:v>597</x:v>
      </x:c>
      <x:c r="P263" s="40" t="n">
        <x:f>IF(COUNT(J263:O263)=0,"",SUM(J263:O263))</x:f>
        <x:v>3877</x:v>
      </x:c>
      <x:c r="Q263" s="40" t="n">
        <x:v>384168088</x:v>
      </x:c>
      <x:c r="R263" s="40" t="n">
        <x:v>74232041</x:v>
      </x:c>
      <x:c r="S263" s="40" t="n">
        <x:v>214637154</x:v>
      </x:c>
      <x:c r="T263" s="40" t="n">
        <x:v>0</x:v>
      </x:c>
      <x:c r="U263" s="40" t="n">
        <x:v>106320</x:v>
      </x:c>
      <x:c r="V263" s="49" t="str">
        <x:v>宫阙3级</x:v>
      </x:c>
      <x:c r="W263" s="49" t="n">
        <x:v>3</x:v>
      </x:c>
      <x:c r="X263" s="52" t="n">
        <x:f>ROUND(100*(0.4*LN(1+Q263)/LN(1+MAX($Q$5:$Q$395))+0.35*R263/MAX($R$5:$R$395)+0.15*S263/MAX($S$5:$S$395)+IF(P263="",0,0.1*P263/MAX($P$5:$P$395)))/IF(P263="",0.9,1),1)</x:f>
        <x:v>65.3</x:v>
      </x:c>
      <x:c r="Y263" s="49" t="n">
        <x:f>RANK.EQ(X263,$X$5:$X$395,0)</x:f>
        <x:v>255</x:v>
      </x:c>
      <x:c r="Z263" s="34" t="str">
        <x:v>参考旧分配方案并结合容量调整</x:v>
      </x:c>
      <x:c r="AA263" s="55"/>
    </x:row>
    <x:row r="264" ht="20" customHeight="1">
      <x:c r="A264" s="46" t="n">
        <x:v>266</x:v>
      </x:c>
      <x:c r="B264" s="27" t="str">
        <x:v>过关斩将</x:v>
      </x:c>
      <x:c r="C264" s="49" t="str">
        <x:v>兰亭</x:v>
      </x:c>
      <x:c r="D264" s="49" t="str">
        <x:v>玲珑</x:v>
      </x:c>
      <x:c r="E264" s="49" t="str">
        <x:v>兰亭→玲珑</x:v>
      </x:c>
      <x:c r="F264" s="49" t="str"/>
      <x:c r="G264" s="49"/>
      <x:c r="H264" s="37"/>
      <x:c r="I264" s="37"/>
      <x:c r="J264" s="40"/>
      <x:c r="K264" s="40"/>
      <x:c r="L264" s="40"/>
      <x:c r="M264" s="40"/>
      <x:c r="N264" s="40"/>
      <x:c r="O264" s="40"/>
      <x:c r="P264" s="40" t="str">
        <x:f>IF(COUNT(J264:O264)=0,"",SUM(J264:O264))</x:f>
      </x:c>
      <x:c r="Q264" s="40" t="n">
        <x:v>2242689367</x:v>
      </x:c>
      <x:c r="R264" s="40" t="n">
        <x:v>61656774</x:v>
      </x:c>
      <x:c r="S264" s="40" t="n">
        <x:v>197954914</x:v>
      </x:c>
      <x:c r="T264" s="40" t="n">
        <x:v>0</x:v>
      </x:c>
      <x:c r="U264" s="40" t="n">
        <x:v>189360</x:v>
      </x:c>
      <x:c r="V264" s="49" t="str">
        <x:v>宫阙3级</x:v>
      </x:c>
      <x:c r="W264" s="49" t="n">
        <x:v>3</x:v>
      </x:c>
      <x:c r="X264" s="52" t="n">
        <x:f>ROUND(100*(0.4*LN(1+Q264)/LN(1+MAX($Q$5:$Q$395))+0.35*R264/MAX($R$5:$R$395)+0.15*S264/MAX($S$5:$S$395)+IF(P264="",0,0.1*P264/MAX($P$5:$P$395)))/IF(P264="",0.9,1),1)</x:f>
        <x:v>65.1</x:v>
      </x:c>
      <x:c r="Y264" s="49" t="n">
        <x:f>RANK.EQ(X264,$X$5:$X$395,0)</x:f>
        <x:v>256</x:v>
      </x:c>
      <x:c r="Z264" s="34" t="str">
        <x:v>为一盟战斗重组和盟容量平衡进行对调</x:v>
      </x:c>
      <x:c r="AA264" s="55" t="str">
        <x:v>六维未匹配</x:v>
      </x:c>
    </x:row>
    <x:row r="265" ht="20" customHeight="1">
      <x:c r="A265" s="46" t="n">
        <x:v>277</x:v>
      </x:c>
      <x:c r="B265" s="27" t="str">
        <x:v>莽二哥</x:v>
      </x:c>
      <x:c r="C265" s="49" t="str">
        <x:v>兰亭</x:v>
      </x:c>
      <x:c r="D265" s="49" t="str">
        <x:v>玲珑</x:v>
      </x:c>
      <x:c r="E265" s="49" t="str">
        <x:v>兰亭→玲珑</x:v>
      </x:c>
      <x:c r="F265" s="49" t="str"/>
      <x:c r="G265" s="49"/>
      <x:c r="H265" s="37"/>
      <x:c r="I265" s="37"/>
      <x:c r="J265" s="40"/>
      <x:c r="K265" s="40"/>
      <x:c r="L265" s="40"/>
      <x:c r="M265" s="40"/>
      <x:c r="N265" s="40"/>
      <x:c r="O265" s="40"/>
      <x:c r="P265" s="40" t="str">
        <x:f>IF(COUNT(J265:O265)=0,"",SUM(J265:O265))</x:f>
      </x:c>
      <x:c r="Q265" s="40" t="n">
        <x:v>1631706264</x:v>
      </x:c>
      <x:c r="R265" s="40" t="n">
        <x:v>64228382</x:v>
      </x:c>
      <x:c r="S265" s="40" t="n">
        <x:v>193800087</x:v>
      </x:c>
      <x:c r="T265" s="40" t="n">
        <x:v>0</x:v>
      </x:c>
      <x:c r="U265" s="40" t="n">
        <x:v>137040</x:v>
      </x:c>
      <x:c r="V265" s="49" t="str">
        <x:v>宫阙2级</x:v>
      </x:c>
      <x:c r="W265" s="49" t="n">
        <x:v>2</x:v>
      </x:c>
      <x:c r="X265" s="52" t="n">
        <x:f>ROUND(100*(0.4*LN(1+Q265)/LN(1+MAX($Q$5:$Q$395))+0.35*R265/MAX($R$5:$R$395)+0.15*S265/MAX($S$5:$S$395)+IF(P265="",0,0.1*P265/MAX($P$5:$P$395)))/IF(P265="",0.9,1),1)</x:f>
        <x:v>65.1</x:v>
      </x:c>
      <x:c r="Y265" s="49" t="n">
        <x:f>RANK.EQ(X265,$X$5:$X$395,0)</x:f>
        <x:v>256</x:v>
      </x:c>
      <x:c r="Z265" s="34" t="str">
        <x:v>为一盟战斗重组和盟容量平衡进行对调</x:v>
      </x:c>
      <x:c r="AA265" s="55" t="str">
        <x:v>六维未匹配</x:v>
      </x:c>
    </x:row>
    <x:row r="266" ht="20" customHeight="1">
      <x:c r="A266" s="46" t="n">
        <x:v>280</x:v>
      </x:c>
      <x:c r="B266" s="27" t="str">
        <x:v>笑笑大王</x:v>
      </x:c>
      <x:c r="C266" s="49" t="str">
        <x:v>兰亭</x:v>
      </x:c>
      <x:c r="D266" s="49" t="str">
        <x:v>玲珑</x:v>
      </x:c>
      <x:c r="E266" s="49" t="str">
        <x:v>兰亭→玲珑</x:v>
      </x:c>
      <x:c r="F266" s="49" t="str">
        <x:v>玲珑</x:v>
      </x:c>
      <x:c r="G266" s="49" t="str">
        <x:v>兰亭</x:v>
      </x:c>
      <x:c r="H266" s="37" t="n">
        <x:v>24.5</x:v>
      </x:c>
      <x:c r="I266" s="37" t="n">
        <x:v>24.5</x:v>
      </x:c>
      <x:c r="J266" s="40" t="n">
        <x:v>538</x:v>
      </x:c>
      <x:c r="K266" s="40" t="n">
        <x:v>582</x:v>
      </x:c>
      <x:c r="L266" s="40" t="n">
        <x:v>596</x:v>
      </x:c>
      <x:c r="M266" s="40" t="n">
        <x:v>472</x:v>
      </x:c>
      <x:c r="N266" s="40" t="n">
        <x:v>593</x:v>
      </x:c>
      <x:c r="O266" s="40" t="n">
        <x:v>518</x:v>
      </x:c>
      <x:c r="P266" s="40" t="n">
        <x:f>IF(COUNT(J266:O266)=0,"",SUM(J266:O266))</x:f>
        <x:v>3299</x:v>
      </x:c>
      <x:c r="Q266" s="40" t="n">
        <x:v>1217336074</x:v>
      </x:c>
      <x:c r="R266" s="40" t="n">
        <x:v>66880532</x:v>
      </x:c>
      <x:c r="S266" s="40" t="n">
        <x:v>223882880</x:v>
      </x:c>
      <x:c r="T266" s="40" t="n">
        <x:v>0</x:v>
      </x:c>
      <x:c r="U266" s="40" t="n">
        <x:v>70800</x:v>
      </x:c>
      <x:c r="V266" s="49" t="str">
        <x:v>宫阙3级</x:v>
      </x:c>
      <x:c r="W266" s="49" t="n">
        <x:v>3</x:v>
      </x:c>
      <x:c r="X266" s="52" t="n">
        <x:f>ROUND(100*(0.4*LN(1+Q266)/LN(1+MAX($Q$5:$Q$395))+0.35*R266/MAX($R$5:$R$395)+0.15*S266/MAX($S$5:$S$395)+IF(P266="",0,0.1*P266/MAX($P$5:$P$395)))/IF(P266="",0.9,1),1)</x:f>
        <x:v>64.8</x:v>
      </x:c>
      <x:c r="Y266" s="49" t="n">
        <x:f>RANK.EQ(X266,$X$5:$X$395,0)</x:f>
        <x:v>258</x:v>
      </x:c>
      <x:c r="Z266" s="34" t="str">
        <x:v>参考旧分配方案并结合容量调整</x:v>
      </x:c>
      <x:c r="AA266" s="55"/>
    </x:row>
    <x:row r="267" ht="20" customHeight="1">
      <x:c r="A267" s="46" t="n">
        <x:v>275</x:v>
      </x:c>
      <x:c r="B267" s="27" t="str">
        <x:v>三维碾压</x:v>
      </x:c>
      <x:c r="C267" s="49" t="str">
        <x:v>兰亭</x:v>
      </x:c>
      <x:c r="D267" s="49" t="str">
        <x:v>玲珑</x:v>
      </x:c>
      <x:c r="E267" s="49" t="str">
        <x:v>兰亭→玲珑</x:v>
      </x:c>
      <x:c r="F267" s="49" t="str">
        <x:v>花晨</x:v>
      </x:c>
      <x:c r="G267" s="49" t="str">
        <x:v>随便，盟里活人多就行</x:v>
      </x:c>
      <x:c r="H267" s="37" t="n">
        <x:v>22.3</x:v>
      </x:c>
      <x:c r="I267" s="37" t="n">
        <x:v>22.3</x:v>
      </x:c>
      <x:c r="J267" s="40" t="n">
        <x:v>602</x:v>
      </x:c>
      <x:c r="K267" s="40" t="n">
        <x:v>410</x:v>
      </x:c>
      <x:c r="L267" s="40" t="n">
        <x:v>600</x:v>
      </x:c>
      <x:c r="M267" s="40" t="n">
        <x:v>366</x:v>
      </x:c>
      <x:c r="N267" s="40" t="n">
        <x:v>610</x:v>
      </x:c>
      <x:c r="O267" s="40" t="n">
        <x:v>405</x:v>
      </x:c>
      <x:c r="P267" s="40" t="n">
        <x:f>IF(COUNT(J267:O267)=0,"",SUM(J267:O267))</x:f>
        <x:v>2993</x:v>
      </x:c>
      <x:c r="Q267" s="40" t="n">
        <x:v>1745146686</x:v>
      </x:c>
      <x:c r="R267" s="40" t="n">
        <x:v>67191950</x:v>
      </x:c>
      <x:c r="S267" s="40" t="n">
        <x:v>213104331</x:v>
      </x:c>
      <x:c r="T267" s="40" t="n">
        <x:v>0</x:v>
      </x:c>
      <x:c r="U267" s="40" t="n">
        <x:v>127200</x:v>
      </x:c>
      <x:c r="V267" s="49" t="str">
        <x:v>宫阙2级</x:v>
      </x:c>
      <x:c r="W267" s="49" t="n">
        <x:v>2</x:v>
      </x:c>
      <x:c r="X267" s="52" t="n">
        <x:f>ROUND(100*(0.4*LN(1+Q267)/LN(1+MAX($Q$5:$Q$395))+0.35*R267/MAX($R$5:$R$395)+0.15*S267/MAX($S$5:$S$395)+IF(P267="",0,0.1*P267/MAX($P$5:$P$395)))/IF(P267="",0.9,1),1)</x:f>
        <x:v>64.7</x:v>
      </x:c>
      <x:c r="Y267" s="49" t="n">
        <x:f>RANK.EQ(X267,$X$5:$X$395,0)</x:f>
        <x:v>259</x:v>
      </x:c>
      <x:c r="Z267" s="34" t="str">
        <x:v>为一盟战斗重组和盟容量平衡进行对调</x:v>
      </x:c>
      <x:c r="AA267" s="55"/>
    </x:row>
    <x:row r="268" ht="20" customHeight="1">
      <x:c r="A268" s="46" t="n">
        <x:v>173</x:v>
      </x:c>
      <x:c r="B268" s="27" t="str">
        <x:v>哦豁达</x:v>
      </x:c>
      <x:c r="C268" s="49" t="str">
        <x:v>玲珑</x:v>
      </x:c>
      <x:c r="D268" s="49" t="str">
        <x:v>玲珑</x:v>
      </x:c>
      <x:c r="E268" s="49" t="str">
        <x:v>留盟</x:v>
      </x:c>
      <x:c r="F268" s="49" t="str"/>
      <x:c r="G268" s="49"/>
      <x:c r="H268" s="37"/>
      <x:c r="I268" s="37"/>
      <x:c r="J268" s="40"/>
      <x:c r="K268" s="40"/>
      <x:c r="L268" s="40"/>
      <x:c r="M268" s="40"/>
      <x:c r="N268" s="40"/>
      <x:c r="O268" s="40"/>
      <x:c r="P268" s="40" t="str">
        <x:f>IF(COUNT(J268:O268)=0,"",SUM(J268:O268))</x:f>
      </x:c>
      <x:c r="Q268" s="40" t="n">
        <x:v>352364442</x:v>
      </x:c>
      <x:c r="R268" s="40" t="n">
        <x:v>66357111</x:v>
      </x:c>
      <x:c r="S268" s="40" t="n">
        <x:v>179389273</x:v>
      </x:c>
      <x:c r="T268" s="40" t="n">
        <x:v>0</x:v>
      </x:c>
      <x:c r="U268" s="40" t="n">
        <x:v>110400</x:v>
      </x:c>
      <x:c r="V268" s="49" t="str">
        <x:v>宫阙3级</x:v>
      </x:c>
      <x:c r="W268" s="49" t="n">
        <x:v>2</x:v>
      </x:c>
      <x:c r="X268" s="52" t="n">
        <x:f>ROUND(100*(0.4*LN(1+Q268)/LN(1+MAX($Q$5:$Q$395))+0.35*R268/MAX($R$5:$R$395)+0.15*S268/MAX($S$5:$S$395)+IF(P268="",0,0.1*P268/MAX($P$5:$P$395)))/IF(P268="",0.9,1),1)</x:f>
        <x:v>62.3</x:v>
      </x:c>
      <x:c r="Y268" s="49" t="n">
        <x:f>RANK.EQ(X268,$X$5:$X$395,0)</x:f>
        <x:v>277</x:v>
      </x:c>
      <x:c r="Z268" s="34" t="str">
        <x:v>保持当前盟，减少迁移成本</x:v>
      </x:c>
      <x:c r="AA268" s="55" t="str">
        <x:v>六维未匹配</x:v>
      </x:c>
    </x:row>
    <x:row r="269" ht="20" customHeight="1">
      <x:c r="A269" s="46" t="n">
        <x:v>161</x:v>
      </x:c>
      <x:c r="B269" s="27" t="str">
        <x:v>巴国布衣</x:v>
      </x:c>
      <x:c r="C269" s="49" t="str">
        <x:v>玲珑</x:v>
      </x:c>
      <x:c r="D269" s="49" t="str">
        <x:v>玲珑</x:v>
      </x:c>
      <x:c r="E269" s="49" t="str">
        <x:v>留盟</x:v>
      </x:c>
      <x:c r="F269" s="49" t="str"/>
      <x:c r="G269" s="49"/>
      <x:c r="H269" s="37"/>
      <x:c r="I269" s="37"/>
      <x:c r="J269" s="40"/>
      <x:c r="K269" s="40"/>
      <x:c r="L269" s="40"/>
      <x:c r="M269" s="40"/>
      <x:c r="N269" s="40"/>
      <x:c r="O269" s="40"/>
      <x:c r="P269" s="40" t="str">
        <x:f>IF(COUNT(J269:O269)=0,"",SUM(J269:O269))</x:f>
      </x:c>
      <x:c r="Q269" s="40" t="n">
        <x:v>805401634</x:v>
      </x:c>
      <x:c r="R269" s="40" t="n">
        <x:v>58373460</x:v>
      </x:c>
      <x:c r="S269" s="40" t="n">
        <x:v>151607691</x:v>
      </x:c>
      <x:c r="T269" s="40" t="n">
        <x:v>0</x:v>
      </x:c>
      <x:c r="U269" s="40" t="n">
        <x:v>69360</x:v>
      </x:c>
      <x:c r="V269" s="49" t="str">
        <x:v>宫阙3级</x:v>
      </x:c>
      <x:c r="W269" s="49" t="n">
        <x:v>4</x:v>
      </x:c>
      <x:c r="X269" s="52" t="n">
        <x:f>ROUND(100*(0.4*LN(1+Q269)/LN(1+MAX($Q$5:$Q$395))+0.35*R269/MAX($R$5:$R$395)+0.15*S269/MAX($S$5:$S$395)+IF(P269="",0,0.1*P269/MAX($P$5:$P$395)))/IF(P269="",0.9,1),1)</x:f>
        <x:v>60.7</x:v>
      </x:c>
      <x:c r="Y269" s="49" t="n">
        <x:f>RANK.EQ(X269,$X$5:$X$395,0)</x:f>
        <x:v>286</x:v>
      </x:c>
      <x:c r="Z269" s="34" t="str">
        <x:v>保持当前盟，减少迁移成本</x:v>
      </x:c>
      <x:c r="AA269" s="55" t="str">
        <x:v>六维未匹配</x:v>
      </x:c>
    </x:row>
    <x:row r="270" ht="20" customHeight="1">
      <x:c r="A270" s="46" t="n">
        <x:v>167</x:v>
      </x:c>
      <x:c r="B270" s="27" t="str">
        <x:v>念倾心</x:v>
      </x:c>
      <x:c r="C270" s="49" t="str">
        <x:v>玲珑</x:v>
      </x:c>
      <x:c r="D270" s="49" t="str">
        <x:v>玲珑</x:v>
      </x:c>
      <x:c r="E270" s="49" t="str">
        <x:v>留盟</x:v>
      </x:c>
      <x:c r="F270" s="49" t="str"/>
      <x:c r="G270" s="49"/>
      <x:c r="H270" s="37"/>
      <x:c r="I270" s="37"/>
      <x:c r="J270" s="40"/>
      <x:c r="K270" s="40"/>
      <x:c r="L270" s="40"/>
      <x:c r="M270" s="40"/>
      <x:c r="N270" s="40"/>
      <x:c r="O270" s="40"/>
      <x:c r="P270" s="40" t="str">
        <x:f>IF(COUNT(J270:O270)=0,"",SUM(J270:O270))</x:f>
      </x:c>
      <x:c r="Q270" s="40" t="n">
        <x:v>452357232</x:v>
      </x:c>
      <x:c r="R270" s="40" t="n">
        <x:v>58672086</x:v>
      </x:c>
      <x:c r="S270" s="40" t="n">
        <x:v>166740940</x:v>
      </x:c>
      <x:c r="T270" s="40" t="n">
        <x:v>0</x:v>
      </x:c>
      <x:c r="U270" s="40" t="n">
        <x:v>66520</x:v>
      </x:c>
      <x:c r="V270" s="49" t="str">
        <x:v>宫阙3级</x:v>
      </x:c>
      <x:c r="W270" s="49" t="n">
        <x:v>3</x:v>
      </x:c>
      <x:c r="X270" s="52" t="n">
        <x:f>ROUND(100*(0.4*LN(1+Q270)/LN(1+MAX($Q$5:$Q$395))+0.35*R270/MAX($R$5:$R$395)+0.15*S270/MAX($S$5:$S$395)+IF(P270="",0,0.1*P270/MAX($P$5:$P$395)))/IF(P270="",0.9,1),1)</x:f>
        <x:v>60.2</x:v>
      </x:c>
      <x:c r="Y270" s="49" t="n">
        <x:f>RANK.EQ(X270,$X$5:$X$395,0)</x:f>
        <x:v>287</x:v>
      </x:c>
      <x:c r="Z270" s="34" t="str">
        <x:v>保持当前盟，减少迁移成本</x:v>
      </x:c>
      <x:c r="AA270" s="55" t="str">
        <x:v>六维未匹配</x:v>
      </x:c>
    </x:row>
    <x:row r="271" ht="20" customHeight="1">
      <x:c r="A271" s="46" t="n">
        <x:v>169</x:v>
      </x:c>
      <x:c r="B271" s="27" t="str">
        <x:v>龙门鱼</x:v>
      </x:c>
      <x:c r="C271" s="49" t="str">
        <x:v>玲珑</x:v>
      </x:c>
      <x:c r="D271" s="49" t="str">
        <x:v>玲珑</x:v>
      </x:c>
      <x:c r="E271" s="49" t="str">
        <x:v>留盟</x:v>
      </x:c>
      <x:c r="F271" s="49" t="str"/>
      <x:c r="G271" s="49"/>
      <x:c r="H271" s="37"/>
      <x:c r="I271" s="37"/>
      <x:c r="J271" s="40"/>
      <x:c r="K271" s="40"/>
      <x:c r="L271" s="40"/>
      <x:c r="M271" s="40"/>
      <x:c r="N271" s="40"/>
      <x:c r="O271" s="40"/>
      <x:c r="P271" s="40" t="str">
        <x:f>IF(COUNT(J271:O271)=0,"",SUM(J271:O271))</x:f>
      </x:c>
      <x:c r="Q271" s="40" t="n">
        <x:v>436612998</x:v>
      </x:c>
      <x:c r="R271" s="40" t="n">
        <x:v>58070022</x:v>
      </x:c>
      <x:c r="S271" s="40" t="n">
        <x:v>153425418</x:v>
      </x:c>
      <x:c r="T271" s="40" t="n">
        <x:v>0</x:v>
      </x:c>
      <x:c r="U271" s="40" t="n">
        <x:v>131280</x:v>
      </x:c>
      <x:c r="V271" s="49" t="str">
        <x:v>宫阙2级</x:v>
      </x:c>
      <x:c r="W271" s="49" t="n">
        <x:v>2</x:v>
      </x:c>
      <x:c r="X271" s="52" t="n">
        <x:f>ROUND(100*(0.4*LN(1+Q271)/LN(1+MAX($Q$5:$Q$395))+0.35*R271/MAX($R$5:$R$395)+0.15*S271/MAX($S$5:$S$395)+IF(P271="",0,0.1*P271/MAX($P$5:$P$395)))/IF(P271="",0.9,1),1)</x:f>
        <x:v>59.5</x:v>
      </x:c>
      <x:c r="Y271" s="49" t="n">
        <x:f>RANK.EQ(X271,$X$5:$X$395,0)</x:f>
        <x:v>289</x:v>
      </x:c>
      <x:c r="Z271" s="34" t="str">
        <x:v>保持当前盟，减少迁移成本</x:v>
      </x:c>
      <x:c r="AA271" s="55" t="str">
        <x:v>六维未匹配</x:v>
      </x:c>
    </x:row>
    <x:row r="272" ht="20" customHeight="1">
      <x:c r="A272" s="46" t="n">
        <x:v>168</x:v>
      </x:c>
      <x:c r="B272" s="27" t="str">
        <x:v>小仙女</x:v>
      </x:c>
      <x:c r="C272" s="49" t="str">
        <x:v>玲珑</x:v>
      </x:c>
      <x:c r="D272" s="49" t="str">
        <x:v>玲珑</x:v>
      </x:c>
      <x:c r="E272" s="49" t="str">
        <x:v>留盟</x:v>
      </x:c>
      <x:c r="F272" s="49" t="str"/>
      <x:c r="G272" s="49" t="str">
        <x:v>玲珑</x:v>
      </x:c>
      <x:c r="H272" s="37" t="n">
        <x:v>24.2</x:v>
      </x:c>
      <x:c r="I272" s="37" t="n">
        <x:v>24.2</x:v>
      </x:c>
      <x:c r="J272" s="40" t="n">
        <x:v>500</x:v>
      </x:c>
      <x:c r="K272" s="40" t="n">
        <x:v>600</x:v>
      </x:c>
      <x:c r="L272" s="40" t="n">
        <x:v>450</x:v>
      </x:c>
      <x:c r="M272" s="40" t="n">
        <x:v>350</x:v>
      </x:c>
      <x:c r="N272" s="40" t="n">
        <x:v>570</x:v>
      </x:c>
      <x:c r="O272" s="40" t="n">
        <x:v>420</x:v>
      </x:c>
      <x:c r="P272" s="40" t="n">
        <x:f>IF(COUNT(J272:O272)=0,"",SUM(J272:O272))</x:f>
        <x:v>2890</x:v>
      </x:c>
      <x:c r="Q272" s="40" t="n">
        <x:v>447654796</x:v>
      </x:c>
      <x:c r="R272" s="40" t="n">
        <x:v>59791197</x:v>
      </x:c>
      <x:c r="S272" s="40" t="n">
        <x:v>184214168</x:v>
      </x:c>
      <x:c r="T272" s="40" t="n">
        <x:v>0</x:v>
      </x:c>
      <x:c r="U272" s="40" t="n">
        <x:v>48400</x:v>
      </x:c>
      <x:c r="V272" s="49" t="str">
        <x:v>宫阙3级</x:v>
      </x:c>
      <x:c r="W272" s="49" t="n">
        <x:v>3</x:v>
      </x:c>
      <x:c r="X272" s="52" t="n">
        <x:f>ROUND(100*(0.4*LN(1+Q272)/LN(1+MAX($Q$5:$Q$395))+0.35*R272/MAX($R$5:$R$395)+0.15*S272/MAX($S$5:$S$395)+IF(P272="",0,0.1*P272/MAX($P$5:$P$395)))/IF(P272="",0.9,1),1)</x:f>
        <x:v>59.4</x:v>
      </x:c>
      <x:c r="Y272" s="49" t="n">
        <x:f>RANK.EQ(X272,$X$5:$X$395,0)</x:f>
        <x:v>290</x:v>
      </x:c>
      <x:c r="Z272" s="34" t="str">
        <x:v>保持当前盟，减少迁移成本</x:v>
      </x:c>
      <x:c r="AA272" s="55"/>
    </x:row>
    <x:row r="273" ht="20" customHeight="1">
      <x:c r="A273" s="46" t="n">
        <x:v>180</x:v>
      </x:c>
      <x:c r="B273" s="27" t="str">
        <x:v>赵琳琳</x:v>
      </x:c>
      <x:c r="C273" s="49" t="str">
        <x:v>玲珑</x:v>
      </x:c>
      <x:c r="D273" s="49" t="str">
        <x:v>玲珑</x:v>
      </x:c>
      <x:c r="E273" s="49" t="str">
        <x:v>留盟</x:v>
      </x:c>
      <x:c r="F273" s="49" t="str"/>
      <x:c r="G273" s="49"/>
      <x:c r="H273" s="37"/>
      <x:c r="I273" s="37"/>
      <x:c r="J273" s="40"/>
      <x:c r="K273" s="40"/>
      <x:c r="L273" s="40"/>
      <x:c r="M273" s="40"/>
      <x:c r="N273" s="40"/>
      <x:c r="O273" s="40"/>
      <x:c r="P273" s="40" t="str">
        <x:f>IF(COUNT(J273:O273)=0,"",SUM(J273:O273))</x:f>
      </x:c>
      <x:c r="Q273" s="40" t="n">
        <x:v>83006022</x:v>
      </x:c>
      <x:c r="R273" s="40" t="n">
        <x:v>66012560</x:v>
      </x:c>
      <x:c r="S273" s="40" t="n">
        <x:v>170700692</x:v>
      </x:c>
      <x:c r="T273" s="40" t="n">
        <x:v>0</x:v>
      </x:c>
      <x:c r="U273" s="40" t="n">
        <x:v>45840</x:v>
      </x:c>
      <x:c r="V273" s="49" t="str">
        <x:v>宫阙2级</x:v>
      </x:c>
      <x:c r="W273" s="49" t="n">
        <x:v>2</x:v>
      </x:c>
      <x:c r="X273" s="52" t="n">
        <x:f>ROUND(100*(0.4*LN(1+Q273)/LN(1+MAX($Q$5:$Q$395))+0.35*R273/MAX($R$5:$R$395)+0.15*S273/MAX($S$5:$S$395)+IF(P273="",0,0.1*P273/MAX($P$5:$P$395)))/IF(P273="",0.9,1),1)</x:f>
        <x:v>59.2</x:v>
      </x:c>
      <x:c r="Y273" s="49" t="n">
        <x:f>RANK.EQ(X273,$X$5:$X$395,0)</x:f>
        <x:v>291</x:v>
      </x:c>
      <x:c r="Z273" s="34" t="str">
        <x:v>保持当前盟，减少迁移成本</x:v>
      </x:c>
      <x:c r="AA273" s="55" t="str">
        <x:v>六维未匹配</x:v>
      </x:c>
    </x:row>
    <x:row r="274" ht="20" customHeight="1">
      <x:c r="A274" s="46" t="n">
        <x:v>165</x:v>
      </x:c>
      <x:c r="B274" s="27" t="str">
        <x:v>清风明月似故人</x:v>
      </x:c>
      <x:c r="C274" s="49" t="str">
        <x:v>玲珑</x:v>
      </x:c>
      <x:c r="D274" s="49" t="str">
        <x:v>玲珑</x:v>
      </x:c>
      <x:c r="E274" s="49" t="str">
        <x:v>留盟</x:v>
      </x:c>
      <x:c r="F274" s="49" t="str"/>
      <x:c r="G274" s="49"/>
      <x:c r="H274" s="37"/>
      <x:c r="I274" s="37"/>
      <x:c r="J274" s="40"/>
      <x:c r="K274" s="40"/>
      <x:c r="L274" s="40"/>
      <x:c r="M274" s="40"/>
      <x:c r="N274" s="40"/>
      <x:c r="O274" s="40"/>
      <x:c r="P274" s="40" t="str">
        <x:f>IF(COUNT(J274:O274)=0,"",SUM(J274:O274))</x:f>
      </x:c>
      <x:c r="Q274" s="40" t="n">
        <x:v>568742674</x:v>
      </x:c>
      <x:c r="R274" s="40" t="n">
        <x:v>56714157</x:v>
      </x:c>
      <x:c r="S274" s="40" t="n">
        <x:v>121006253</x:v>
      </x:c>
      <x:c r="T274" s="40" t="n">
        <x:v>0</x:v>
      </x:c>
      <x:c r="U274" s="40" t="n">
        <x:v>0</x:v>
      </x:c>
      <x:c r="V274" s="49" t="str">
        <x:v>宫阙1级</x:v>
      </x:c>
      <x:c r="W274" s="49" t="n">
        <x:v>4</x:v>
      </x:c>
      <x:c r="X274" s="52" t="n">
        <x:f>ROUND(100*(0.4*LN(1+Q274)/LN(1+MAX($Q$5:$Q$395))+0.35*R274/MAX($R$5:$R$395)+0.15*S274/MAX($S$5:$S$395)+IF(P274="",0,0.1*P274/MAX($P$5:$P$395)))/IF(P274="",0.9,1),1)</x:f>
        <x:v>58.6</x:v>
      </x:c>
      <x:c r="Y274" s="49" t="n">
        <x:f>RANK.EQ(X274,$X$5:$X$395,0)</x:f>
        <x:v>293</x:v>
      </x:c>
      <x:c r="Z274" s="34" t="str">
        <x:v>保持当前盟，减少迁移成本</x:v>
      </x:c>
      <x:c r="AA274" s="55" t="str">
        <x:v>六维未匹配</x:v>
      </x:c>
    </x:row>
    <x:row r="275" ht="20" customHeight="1">
      <x:c r="A275" s="46" t="n">
        <x:v>182</x:v>
      </x:c>
      <x:c r="B275" s="27" t="str">
        <x:v>阳光阳光</x:v>
      </x:c>
      <x:c r="C275" s="49" t="str">
        <x:v>玲珑</x:v>
      </x:c>
      <x:c r="D275" s="49" t="str">
        <x:v>玲珑</x:v>
      </x:c>
      <x:c r="E275" s="49" t="str">
        <x:v>留盟</x:v>
      </x:c>
      <x:c r="F275" s="49" t="str"/>
      <x:c r="G275" s="49"/>
      <x:c r="H275" s="37"/>
      <x:c r="I275" s="37"/>
      <x:c r="J275" s="40"/>
      <x:c r="K275" s="40"/>
      <x:c r="L275" s="40"/>
      <x:c r="M275" s="40"/>
      <x:c r="N275" s="40"/>
      <x:c r="O275" s="40"/>
      <x:c r="P275" s="40" t="str">
        <x:f>IF(COUNT(J275:O275)=0,"",SUM(J275:O275))</x:f>
      </x:c>
      <x:c r="Q275" s="40" t="n">
        <x:v>4486812</x:v>
      </x:c>
      <x:c r="R275" s="40" t="n">
        <x:v>66348552</x:v>
      </x:c>
      <x:c r="S275" s="40" t="n">
        <x:v>199344273</x:v>
      </x:c>
      <x:c r="T275" s="40" t="n">
        <x:v>0</x:v>
      </x:c>
      <x:c r="U275" s="40" t="n">
        <x:v>140640</x:v>
      </x:c>
      <x:c r="V275" s="49" t="str">
        <x:v>宫阙2级</x:v>
      </x:c>
      <x:c r="W275" s="49" t="n">
        <x:v>2</x:v>
      </x:c>
      <x:c r="X275" s="52" t="n">
        <x:f>ROUND(100*(0.4*LN(1+Q275)/LN(1+MAX($Q$5:$Q$395))+0.35*R275/MAX($R$5:$R$395)+0.15*S275/MAX($S$5:$S$395)+IF(P275="",0,0.1*P275/MAX($P$5:$P$395)))/IF(P275="",0.9,1),1)</x:f>
        <x:v>54.7</x:v>
      </x:c>
      <x:c r="Y275" s="49" t="n">
        <x:f>RANK.EQ(X275,$X$5:$X$395,0)</x:f>
        <x:v>298</x:v>
      </x:c>
      <x:c r="Z275" s="34" t="str">
        <x:v>保持当前盟，减少迁移成本</x:v>
      </x:c>
      <x:c r="AA275" s="55" t="str">
        <x:v>六维未匹配</x:v>
      </x:c>
    </x:row>
    <x:row r="276" ht="20" customHeight="1">
      <x:c r="A276" s="46" t="n">
        <x:v>171</x:v>
      </x:c>
      <x:c r="B276" s="27" t="str">
        <x:v>等风来</x:v>
      </x:c>
      <x:c r="C276" s="49" t="str">
        <x:v>玲珑</x:v>
      </x:c>
      <x:c r="D276" s="49" t="str">
        <x:v>玲珑</x:v>
      </x:c>
      <x:c r="E276" s="49" t="str">
        <x:v>留盟</x:v>
      </x:c>
      <x:c r="F276" s="49" t="str"/>
      <x:c r="G276" s="49" t="str">
        <x:v>花晨</x:v>
      </x:c>
      <x:c r="H276" s="37" t="n">
        <x:v>19.2</x:v>
      </x:c>
      <x:c r="I276" s="37" t="n">
        <x:v>19.2</x:v>
      </x:c>
      <x:c r="J276" s="40" t="n">
        <x:v>474</x:v>
      </x:c>
      <x:c r="K276" s="40" t="n">
        <x:v>399</x:v>
      </x:c>
      <x:c r="L276" s="40" t="n">
        <x:v>369</x:v>
      </x:c>
      <x:c r="M276" s="40" t="n">
        <x:v>266</x:v>
      </x:c>
      <x:c r="N276" s="40" t="n">
        <x:v>472</x:v>
      </x:c>
      <x:c r="O276" s="40" t="n">
        <x:v>379</x:v>
      </x:c>
      <x:c r="P276" s="40" t="n">
        <x:f>IF(COUNT(J276:O276)=0,"",SUM(J276:O276))</x:f>
        <x:v>2359</x:v>
      </x:c>
      <x:c r="Q276" s="40" t="n">
        <x:v>420168344</x:v>
      </x:c>
      <x:c r="R276" s="40" t="n">
        <x:v>48367688</x:v>
      </x:c>
      <x:c r="S276" s="40" t="n">
        <x:v>109443819</x:v>
      </x:c>
      <x:c r="T276" s="40" t="n">
        <x:v>0</x:v>
      </x:c>
      <x:c r="U276" s="40" t="n">
        <x:v>102000</x:v>
      </x:c>
      <x:c r="V276" s="49" t="str">
        <x:v>宫阙1级</x:v>
      </x:c>
      <x:c r="W276" s="49" t="n">
        <x:v>2</x:v>
      </x:c>
      <x:c r="X276" s="52" t="n">
        <x:f>ROUND(100*(0.4*LN(1+Q276)/LN(1+MAX($Q$5:$Q$395))+0.35*R276/MAX($R$5:$R$395)+0.15*S276/MAX($S$5:$S$395)+IF(P276="",0,0.1*P276/MAX($P$5:$P$395)))/IF(P276="",0.9,1),1)</x:f>
        <x:v>53.4</x:v>
      </x:c>
      <x:c r="Y276" s="49" t="n">
        <x:f>RANK.EQ(X276,$X$5:$X$395,0)</x:f>
        <x:v>302</x:v>
      </x:c>
      <x:c r="Z276" s="34" t="str">
        <x:v>保持当前盟，减少迁移成本</x:v>
      </x:c>
      <x:c r="AA276" s="55"/>
    </x:row>
    <x:row r="277" ht="20" customHeight="1">
      <x:c r="A277" s="46" t="n">
        <x:v>175</x:v>
      </x:c>
      <x:c r="B277" s="27" t="str">
        <x:v>光屁股的腚</x:v>
      </x:c>
      <x:c r="C277" s="49" t="str">
        <x:v>玲珑</x:v>
      </x:c>
      <x:c r="D277" s="49" t="str">
        <x:v>玲珑</x:v>
      </x:c>
      <x:c r="E277" s="49" t="str">
        <x:v>留盟</x:v>
      </x:c>
      <x:c r="F277" s="49" t="str"/>
      <x:c r="G277" s="49"/>
      <x:c r="H277" s="37"/>
      <x:c r="I277" s="37"/>
      <x:c r="J277" s="40"/>
      <x:c r="K277" s="40"/>
      <x:c r="L277" s="40"/>
      <x:c r="M277" s="40"/>
      <x:c r="N277" s="40"/>
      <x:c r="O277" s="40"/>
      <x:c r="P277" s="40" t="str">
        <x:f>IF(COUNT(J277:O277)=0,"",SUM(J277:O277))</x:f>
      </x:c>
      <x:c r="Q277" s="40" t="n">
        <x:v>329098610</x:v>
      </x:c>
      <x:c r="R277" s="40" t="n">
        <x:v>44792662</x:v>
      </x:c>
      <x:c r="S277" s="40" t="n">
        <x:v>84382200</x:v>
      </x:c>
      <x:c r="T277" s="40" t="n">
        <x:v>0</x:v>
      </x:c>
      <x:c r="U277" s="40" t="n">
        <x:v>43400</x:v>
      </x:c>
      <x:c r="V277" s="49" t="str">
        <x:v>30</x:v>
      </x:c>
      <x:c r="W277" s="49" t="n">
        <x:v>2</x:v>
      </x:c>
      <x:c r="X277" s="52" t="n">
        <x:f>ROUND(100*(0.4*LN(1+Q277)/LN(1+MAX($Q$5:$Q$395))+0.35*R277/MAX($R$5:$R$395)+0.15*S277/MAX($S$5:$S$395)+IF(P277="",0,0.1*P277/MAX($P$5:$P$395)))/IF(P277="",0.9,1),1)</x:f>
        <x:v>52.9</x:v>
      </x:c>
      <x:c r="Y277" s="49" t="n">
        <x:f>RANK.EQ(X277,$X$5:$X$395,0)</x:f>
        <x:v>303</x:v>
      </x:c>
      <x:c r="Z277" s="34" t="str">
        <x:v>保持当前盟，减少迁移成本</x:v>
      </x:c>
      <x:c r="AA277" s="55" t="str">
        <x:v>六维未匹配</x:v>
      </x:c>
    </x:row>
    <x:row r="278" ht="20" customHeight="1">
      <x:c r="A278" s="46" t="n">
        <x:v>183</x:v>
      </x:c>
      <x:c r="B278" s="27" t="str">
        <x:v>喵胖胖3号</x:v>
      </x:c>
      <x:c r="C278" s="49" t="str">
        <x:v>玲珑</x:v>
      </x:c>
      <x:c r="D278" s="49" t="str">
        <x:v>玲珑</x:v>
      </x:c>
      <x:c r="E278" s="49" t="str">
        <x:v>留盟</x:v>
      </x:c>
      <x:c r="F278" s="49" t="str"/>
      <x:c r="G278" s="49"/>
      <x:c r="H278" s="37"/>
      <x:c r="I278" s="37"/>
      <x:c r="J278" s="40"/>
      <x:c r="K278" s="40"/>
      <x:c r="L278" s="40"/>
      <x:c r="M278" s="40"/>
      <x:c r="N278" s="40"/>
      <x:c r="O278" s="40"/>
      <x:c r="P278" s="40" t="str">
        <x:f>IF(COUNT(J278:O278)=0,"",SUM(J278:O278))</x:f>
      </x:c>
      <x:c r="Q278" s="40" t="n">
        <x:v>3000000</x:v>
      </x:c>
      <x:c r="R278" s="40" t="n">
        <x:v>62537380</x:v>
      </x:c>
      <x:c r="S278" s="40" t="n">
        <x:v>167934849</x:v>
      </x:c>
      <x:c r="T278" s="40" t="n">
        <x:v>0</x:v>
      </x:c>
      <x:c r="U278" s="40" t="n">
        <x:v>53040</x:v>
      </x:c>
      <x:c r="V278" s="49" t="str">
        <x:v>宫阙3级</x:v>
      </x:c>
      <x:c r="W278" s="49" t="n">
        <x:v>3</x:v>
      </x:c>
      <x:c r="X278" s="52" t="n">
        <x:f>ROUND(100*(0.4*LN(1+Q278)/LN(1+MAX($Q$5:$Q$395))+0.35*R278/MAX($R$5:$R$395)+0.15*S278/MAX($S$5:$S$395)+IF(P278="",0,0.1*P278/MAX($P$5:$P$395)))/IF(P278="",0.9,1),1)</x:f>
        <x:v>51.8</x:v>
      </x:c>
      <x:c r="Y278" s="49" t="n">
        <x:f>RANK.EQ(X278,$X$5:$X$395,0)</x:f>
        <x:v>304</x:v>
      </x:c>
      <x:c r="Z278" s="34" t="str">
        <x:v>保持当前盟，减少迁移成本</x:v>
      </x:c>
      <x:c r="AA278" s="55" t="str">
        <x:v>六维未匹配</x:v>
      </x:c>
    </x:row>
    <x:row r="279" ht="20" customHeight="1">
      <x:c r="A279" s="46" t="n">
        <x:v>179</x:v>
      </x:c>
      <x:c r="B279" s="27" t="str">
        <x:v>水淼木森</x:v>
      </x:c>
      <x:c r="C279" s="49" t="str">
        <x:v>玲珑</x:v>
      </x:c>
      <x:c r="D279" s="49" t="str">
        <x:v>玲珑</x:v>
      </x:c>
      <x:c r="E279" s="49" t="str">
        <x:v>留盟</x:v>
      </x:c>
      <x:c r="F279" s="49" t="str"/>
      <x:c r="G279" s="49"/>
      <x:c r="H279" s="37"/>
      <x:c r="I279" s="37"/>
      <x:c r="J279" s="40"/>
      <x:c r="K279" s="40"/>
      <x:c r="L279" s="40"/>
      <x:c r="M279" s="40"/>
      <x:c r="N279" s="40"/>
      <x:c r="O279" s="40"/>
      <x:c r="P279" s="40" t="str">
        <x:f>IF(COUNT(J279:O279)=0,"",SUM(J279:O279))</x:f>
      </x:c>
      <x:c r="Q279" s="40" t="n">
        <x:v>89068992</x:v>
      </x:c>
      <x:c r="R279" s="40" t="n">
        <x:v>44212658</x:v>
      </x:c>
      <x:c r="S279" s="40" t="n">
        <x:v>91957547</x:v>
      </x:c>
      <x:c r="T279" s="40" t="n">
        <x:v>0</x:v>
      </x:c>
      <x:c r="U279" s="40" t="n">
        <x:v>131680</x:v>
      </x:c>
      <x:c r="V279" s="49" t="str">
        <x:v>30</x:v>
      </x:c>
      <x:c r="W279" s="49" t="n">
        <x:v>2</x:v>
      </x:c>
      <x:c r="X279" s="52" t="n">
        <x:f>ROUND(100*(0.4*LN(1+Q279)/LN(1+MAX($Q$5:$Q$395))+0.35*R279/MAX($R$5:$R$395)+0.15*S279/MAX($S$5:$S$395)+IF(P279="",0,0.1*P279/MAX($P$5:$P$395)))/IF(P279="",0.9,1),1)</x:f>
        <x:v>50.5</x:v>
      </x:c>
      <x:c r="Y279" s="49" t="n">
        <x:f>RANK.EQ(X279,$X$5:$X$395,0)</x:f>
        <x:v>305</x:v>
      </x:c>
      <x:c r="Z279" s="34" t="str">
        <x:v>保持当前盟，减少迁移成本</x:v>
      </x:c>
      <x:c r="AA279" s="55" t="str">
        <x:v>六维未匹配</x:v>
      </x:c>
    </x:row>
    <x:row r="280" ht="20" customHeight="1">
      <x:c r="A280" s="46" t="n">
        <x:v>181</x:v>
      </x:c>
      <x:c r="B280" s="27" t="str">
        <x:v>拐奕粥瑶</x:v>
      </x:c>
      <x:c r="C280" s="49" t="str">
        <x:v>玲珑</x:v>
      </x:c>
      <x:c r="D280" s="49" t="str">
        <x:v>玲珑</x:v>
      </x:c>
      <x:c r="E280" s="49" t="str">
        <x:v>留盟</x:v>
      </x:c>
      <x:c r="F280" s="49" t="str"/>
      <x:c r="G280" s="49"/>
      <x:c r="H280" s="37"/>
      <x:c r="I280" s="37"/>
      <x:c r="J280" s="40"/>
      <x:c r="K280" s="40"/>
      <x:c r="L280" s="40"/>
      <x:c r="M280" s="40"/>
      <x:c r="N280" s="40"/>
      <x:c r="O280" s="40"/>
      <x:c r="P280" s="40" t="str">
        <x:f>IF(COUNT(J280:O280)=0,"",SUM(J280:O280))</x:f>
      </x:c>
      <x:c r="Q280" s="40" t="n">
        <x:v>44868120</x:v>
      </x:c>
      <x:c r="R280" s="40" t="n">
        <x:v>37140855</x:v>
      </x:c>
      <x:c r="S280" s="40" t="n">
        <x:v>64157365</x:v>
      </x:c>
      <x:c r="T280" s="40" t="n">
        <x:v>0</x:v>
      </x:c>
      <x:c r="U280" s="40" t="n">
        <x:v>82320</x:v>
      </x:c>
      <x:c r="V280" s="49" t="str">
        <x:v>28</x:v>
      </x:c>
      <x:c r="W280" s="49" t="n">
        <x:v>2</x:v>
      </x:c>
      <x:c r="X280" s="52" t="n">
        <x:f>ROUND(100*(0.4*LN(1+Q280)/LN(1+MAX($Q$5:$Q$395))+0.35*R280/MAX($R$5:$R$395)+0.15*S280/MAX($S$5:$S$395)+IF(P280="",0,0.1*P280/MAX($P$5:$P$395)))/IF(P280="",0.9,1),1)</x:f>
        <x:v>46.3</x:v>
      </x:c>
      <x:c r="Y280" s="49" t="n">
        <x:f>RANK.EQ(X280,$X$5:$X$395,0)</x:f>
        <x:v>306</x:v>
      </x:c>
      <x:c r="Z280" s="34" t="str">
        <x:v>保持当前盟，减少迁移成本</x:v>
      </x:c>
      <x:c r="AA280" s="55" t="str">
        <x:v>六维未匹配</x:v>
      </x:c>
    </x:row>
    <x:row r="281" ht="20" customHeight="1">
      <x:c r="A281" s="46" t="n">
        <x:v>192</x:v>
      </x:c>
      <x:c r="B281" s="27" t="str">
        <x:v>羽扇纶巾痞子男</x:v>
      </x:c>
      <x:c r="C281" s="49" t="str">
        <x:v>玲珑</x:v>
      </x:c>
      <x:c r="D281" s="49" t="str">
        <x:v>玲珑</x:v>
      </x:c>
      <x:c r="E281" s="49" t="str">
        <x:v>留盟</x:v>
      </x:c>
      <x:c r="F281" s="49" t="str"/>
      <x:c r="G281" s="49"/>
      <x:c r="H281" s="37"/>
      <x:c r="I281" s="37"/>
      <x:c r="J281" s="40"/>
      <x:c r="K281" s="40"/>
      <x:c r="L281" s="40"/>
      <x:c r="M281" s="40"/>
      <x:c r="N281" s="40"/>
      <x:c r="O281" s="40"/>
      <x:c r="P281" s="40" t="str">
        <x:f>IF(COUNT(J281:O281)=0,"",SUM(J281:O281))</x:f>
      </x:c>
      <x:c r="Q281" s="40" t="n">
        <x:v>0</x:v>
      </x:c>
      <x:c r="R281" s="40" t="n">
        <x:v>107305423</x:v>
      </x:c>
      <x:c r="S281" s="40" t="n">
        <x:v>317191535</x:v>
      </x:c>
      <x:c r="T281" s="40" t="n">
        <x:v>0</x:v>
      </x:c>
      <x:c r="U281" s="40" t="n">
        <x:v>56480</x:v>
      </x:c>
      <x:c r="V281" s="49" t="str">
        <x:v>宫阙3级</x:v>
      </x:c>
      <x:c r="W281" s="49" t="n">
        <x:v>3</x:v>
      </x:c>
      <x:c r="X281" s="52" t="n">
        <x:f>ROUND(100*(0.4*LN(1+Q281)/LN(1+MAX($Q$5:$Q$395))+0.35*R281/MAX($R$5:$R$395)+0.15*S281/MAX($S$5:$S$395)+IF(P281="",0,0.1*P281/MAX($P$5:$P$395)))/IF(P281="",0.9,1),1)</x:f>
        <x:v>41.1</x:v>
      </x:c>
      <x:c r="Y281" s="49" t="n">
        <x:f>RANK.EQ(X281,$X$5:$X$395,0)</x:f>
        <x:v>309</x:v>
      </x:c>
      <x:c r="Z281" s="34" t="str">
        <x:v>保持当前盟，减少迁移成本</x:v>
      </x:c>
      <x:c r="AA281" s="55" t="str">
        <x:v>六维未匹配</x:v>
      </x:c>
    </x:row>
    <x:row r="282" ht="20" customHeight="1">
      <x:c r="A282" s="46" t="n">
        <x:v>194</x:v>
      </x:c>
      <x:c r="B282" s="27" t="str">
        <x:v>太太太太太常规</x:v>
      </x:c>
      <x:c r="C282" s="49" t="str">
        <x:v>玲珑</x:v>
      </x:c>
      <x:c r="D282" s="49" t="str">
        <x:v>玲珑</x:v>
      </x:c>
      <x:c r="E282" s="49" t="str">
        <x:v>留盟</x:v>
      </x:c>
      <x:c r="F282" s="49" t="str"/>
      <x:c r="G282" s="49" t="str">
        <x:v>兰亭</x:v>
      </x:c>
      <x:c r="H282" s="37" t="n">
        <x:v>28.8</x:v>
      </x:c>
      <x:c r="I282" s="37" t="n">
        <x:v>28.8</x:v>
      </x:c>
      <x:c r="J282" s="40" t="n">
        <x:v>808</x:v>
      </x:c>
      <x:c r="K282" s="40" t="n">
        <x:v>793</x:v>
      </x:c>
      <x:c r="L282" s="40" t="n">
        <x:v>692</x:v>
      </x:c>
      <x:c r="M282" s="40" t="n">
        <x:v>612</x:v>
      </x:c>
      <x:c r="N282" s="40" t="n">
        <x:v>737</x:v>
      </x:c>
      <x:c r="O282" s="40" t="n">
        <x:v>788</x:v>
      </x:c>
      <x:c r="P282" s="40" t="n">
        <x:f>IF(COUNT(J282:O282)=0,"",SUM(J282:O282))</x:f>
        <x:v>4430</x:v>
      </x:c>
      <x:c r="Q282" s="40" t="n">
        <x:v>0</x:v>
      </x:c>
      <x:c r="R282" s="40" t="n">
        <x:v>90246794</x:v>
      </x:c>
      <x:c r="S282" s="40" t="n">
        <x:v>358824055</x:v>
      </x:c>
      <x:c r="T282" s="40" t="n">
        <x:v>0</x:v>
      </x:c>
      <x:c r="U282" s="40" t="n">
        <x:v>107040</x:v>
      </x:c>
      <x:c r="V282" s="49" t="str">
        <x:v>宫阙3级</x:v>
      </x:c>
      <x:c r="W282" s="49" t="n">
        <x:v>3</x:v>
      </x:c>
      <x:c r="X282" s="52" t="n">
        <x:f>ROUND(100*(0.4*LN(1+Q282)/LN(1+MAX($Q$5:$Q$395))+0.35*R282/MAX($R$5:$R$395)+0.15*S282/MAX($S$5:$S$395)+IF(P282="",0,0.1*P282/MAX($P$5:$P$395)))/IF(P282="",0.9,1),1)</x:f>
        <x:v>40.7</x:v>
      </x:c>
      <x:c r="Y282" s="49" t="n">
        <x:f>RANK.EQ(X282,$X$5:$X$395,0)</x:f>
        <x:v>310</x:v>
      </x:c>
      <x:c r="Z282" s="34" t="str">
        <x:v>保持当前盟，减少迁移成本</x:v>
      </x:c>
      <x:c r="AA282" s="55"/>
    </x:row>
    <x:row r="283" ht="20" customHeight="1">
      <x:c r="A283" s="46" t="n">
        <x:v>191</x:v>
      </x:c>
      <x:c r="B283" s="27" t="str">
        <x:v>发呆第一名</x:v>
      </x:c>
      <x:c r="C283" s="49" t="str">
        <x:v>玲珑</x:v>
      </x:c>
      <x:c r="D283" s="49" t="str">
        <x:v>玲珑</x:v>
      </x:c>
      <x:c r="E283" s="49" t="str">
        <x:v>留盟</x:v>
      </x:c>
      <x:c r="F283" s="49" t="str"/>
      <x:c r="G283" s="49" t="str">
        <x:v>玲珑</x:v>
      </x:c>
      <x:c r="H283" s="37" t="n">
        <x:v>26.6</x:v>
      </x:c>
      <x:c r="I283" s="37" t="n">
        <x:v>22.5</x:v>
      </x:c>
      <x:c r="J283" s="40" t="n">
        <x:v>718</x:v>
      </x:c>
      <x:c r="K283" s="40" t="n">
        <x:v>760</x:v>
      </x:c>
      <x:c r="L283" s="40" t="n">
        <x:v>672</x:v>
      </x:c>
      <x:c r="M283" s="40" t="n">
        <x:v>645</x:v>
      </x:c>
      <x:c r="N283" s="40" t="n">
        <x:v>685</x:v>
      </x:c>
      <x:c r="O283" s="40" t="n">
        <x:v>751</x:v>
      </x:c>
      <x:c r="P283" s="40" t="n">
        <x:f>IF(COUNT(J283:O283)=0,"",SUM(J283:O283))</x:f>
        <x:v>4231</x:v>
      </x:c>
      <x:c r="Q283" s="40" t="n">
        <x:v>0</x:v>
      </x:c>
      <x:c r="R283" s="40" t="n">
        <x:v>84968821</x:v>
      </x:c>
      <x:c r="S283" s="40" t="n">
        <x:v>252677544</x:v>
      </x:c>
      <x:c r="T283" s="40" t="n">
        <x:v>0</x:v>
      </x:c>
      <x:c r="U283" s="40" t="n">
        <x:v>114600</x:v>
      </x:c>
      <x:c r="V283" s="49" t="str">
        <x:v>宫阙3级</x:v>
      </x:c>
      <x:c r="W283" s="49" t="n">
        <x:v>3</x:v>
      </x:c>
      <x:c r="X283" s="52" t="n">
        <x:f>ROUND(100*(0.4*LN(1+Q283)/LN(1+MAX($Q$5:$Q$395))+0.35*R283/MAX($R$5:$R$395)+0.15*S283/MAX($S$5:$S$395)+IF(P283="",0,0.1*P283/MAX($P$5:$P$395)))/IF(P283="",0.9,1),1)</x:f>
        <x:v>36</x:v>
      </x:c>
      <x:c r="Y283" s="49" t="n">
        <x:f>RANK.EQ(X283,$X$5:$X$395,0)</x:f>
        <x:v>313</x:v>
      </x:c>
      <x:c r="Z283" s="34" t="str">
        <x:v>保持当前盟，减少迁移成本</x:v>
      </x:c>
      <x:c r="AA283" s="55" t="str">
        <x:v>名称对应：发呆</x:v>
      </x:c>
    </x:row>
    <x:row r="284" ht="20" customHeight="1">
      <x:c r="A284" s="46" t="n">
        <x:v>197</x:v>
      </x:c>
      <x:c r="B284" s="27" t="str">
        <x:v>人不老实话多</x:v>
      </x:c>
      <x:c r="C284" s="49" t="str">
        <x:v>玲珑</x:v>
      </x:c>
      <x:c r="D284" s="49" t="str">
        <x:v>玲珑</x:v>
      </x:c>
      <x:c r="E284" s="49" t="str">
        <x:v>留盟</x:v>
      </x:c>
      <x:c r="F284" s="49" t="str"/>
      <x:c r="G284" s="49"/>
      <x:c r="H284" s="37"/>
      <x:c r="I284" s="37"/>
      <x:c r="J284" s="40"/>
      <x:c r="K284" s="40"/>
      <x:c r="L284" s="40"/>
      <x:c r="M284" s="40"/>
      <x:c r="N284" s="40"/>
      <x:c r="O284" s="40"/>
      <x:c r="P284" s="40" t="str">
        <x:f>IF(COUNT(J284:O284)=0,"",SUM(J284:O284))</x:f>
      </x:c>
      <x:c r="Q284" s="40" t="n">
        <x:v>0</x:v>
      </x:c>
      <x:c r="R284" s="40" t="n">
        <x:v>89616654</x:v>
      </x:c>
      <x:c r="S284" s="40" t="n">
        <x:v>290737959</x:v>
      </x:c>
      <x:c r="T284" s="40" t="n">
        <x:v>0</x:v>
      </x:c>
      <x:c r="U284" s="40" t="n">
        <x:v>85960</x:v>
      </x:c>
      <x:c r="V284" s="49" t="str">
        <x:v>宫阙3级</x:v>
      </x:c>
      <x:c r="W284" s="49" t="n">
        <x:v>3</x:v>
      </x:c>
      <x:c r="X284" s="52" t="n">
        <x:f>ROUND(100*(0.4*LN(1+Q284)/LN(1+MAX($Q$5:$Q$395))+0.35*R284/MAX($R$5:$R$395)+0.15*S284/MAX($S$5:$S$395)+IF(P284="",0,0.1*P284/MAX($P$5:$P$395)))/IF(P284="",0.9,1),1)</x:f>
        <x:v>35.2</x:v>
      </x:c>
      <x:c r="Y284" s="49" t="n">
        <x:f>RANK.EQ(X284,$X$5:$X$395,0)</x:f>
        <x:v>314</x:v>
      </x:c>
      <x:c r="Z284" s="34" t="str">
        <x:v>保持当前盟，减少迁移成本</x:v>
      </x:c>
      <x:c r="AA284" s="55" t="str">
        <x:v>六维未匹配</x:v>
      </x:c>
    </x:row>
    <x:row r="285" ht="20" customHeight="1">
      <x:c r="A285" s="46" t="n">
        <x:v>195</x:v>
      </x:c>
      <x:c r="B285" s="27" t="str">
        <x:v>明天吃什么</x:v>
      </x:c>
      <x:c r="C285" s="49" t="str">
        <x:v>玲珑</x:v>
      </x:c>
      <x:c r="D285" s="49" t="str">
        <x:v>玲珑</x:v>
      </x:c>
      <x:c r="E285" s="49" t="str">
        <x:v>留盟</x:v>
      </x:c>
      <x:c r="F285" s="49" t="str"/>
      <x:c r="G285" s="49" t="str">
        <x:v>玲珑</x:v>
      </x:c>
      <x:c r="H285" s="37" t="n">
        <x:v>22.5</x:v>
      </x:c>
      <x:c r="I285" s="37" t="n">
        <x:v>22.5</x:v>
      </x:c>
      <x:c r="J285" s="40" t="n">
        <x:v>658</x:v>
      </x:c>
      <x:c r="K285" s="40" t="n">
        <x:v>590</x:v>
      </x:c>
      <x:c r="L285" s="40" t="n">
        <x:v>565</x:v>
      </x:c>
      <x:c r="M285" s="40" t="n">
        <x:v>475</x:v>
      </x:c>
      <x:c r="N285" s="40" t="n">
        <x:v>590</x:v>
      </x:c>
      <x:c r="O285" s="40" t="n">
        <x:v>647</x:v>
      </x:c>
      <x:c r="P285" s="40" t="n">
        <x:f>IF(COUNT(J285:O285)=0,"",SUM(J285:O285))</x:f>
        <x:v>3525</x:v>
      </x:c>
      <x:c r="Q285" s="40" t="n">
        <x:v>0</x:v>
      </x:c>
      <x:c r="R285" s="40" t="n">
        <x:v>73041804</x:v>
      </x:c>
      <x:c r="S285" s="40" t="n">
        <x:v>207285867</x:v>
      </x:c>
      <x:c r="T285" s="40" t="n">
        <x:v>0</x:v>
      </x:c>
      <x:c r="U285" s="40" t="n">
        <x:v>85680</x:v>
      </x:c>
      <x:c r="V285" s="49" t="str">
        <x:v>宫阙3级</x:v>
      </x:c>
      <x:c r="W285" s="49" t="n">
        <x:v>3</x:v>
      </x:c>
      <x:c r="X285" s="52" t="n">
        <x:f>ROUND(100*(0.4*LN(1+Q285)/LN(1+MAX($Q$5:$Q$395))+0.35*R285/MAX($R$5:$R$395)+0.15*S285/MAX($S$5:$S$395)+IF(P285="",0,0.1*P285/MAX($P$5:$P$395)))/IF(P285="",0.9,1),1)</x:f>
        <x:v>30.4</x:v>
      </x:c>
      <x:c r="Y285" s="49" t="n">
        <x:f>RANK.EQ(X285,$X$5:$X$395,0)</x:f>
        <x:v>315</x:v>
      </x:c>
      <x:c r="Z285" s="34" t="str">
        <x:v>保持当前盟，减少迁移成本</x:v>
      </x:c>
      <x:c r="AA285" s="55"/>
    </x:row>
    <x:row r="286" ht="20" customHeight="1">
      <x:c r="A286" s="46" t="n">
        <x:v>196</x:v>
      </x:c>
      <x:c r="B286" s="27" t="str">
        <x:v>今仙子</x:v>
      </x:c>
      <x:c r="C286" s="49" t="str">
        <x:v>玲珑</x:v>
      </x:c>
      <x:c r="D286" s="49" t="str">
        <x:v>玲珑</x:v>
      </x:c>
      <x:c r="E286" s="49" t="str">
        <x:v>留盟</x:v>
      </x:c>
      <x:c r="F286" s="49" t="str"/>
      <x:c r="G286" s="49"/>
      <x:c r="H286" s="37"/>
      <x:c r="I286" s="37"/>
      <x:c r="J286" s="40"/>
      <x:c r="K286" s="40"/>
      <x:c r="L286" s="40"/>
      <x:c r="M286" s="40"/>
      <x:c r="N286" s="40"/>
      <x:c r="O286" s="40"/>
      <x:c r="P286" s="40" t="str">
        <x:f>IF(COUNT(J286:O286)=0,"",SUM(J286:O286))</x:f>
      </x:c>
      <x:c r="Q286" s="40" t="n">
        <x:v>0</x:v>
      </x:c>
      <x:c r="R286" s="40" t="n">
        <x:v>73072064</x:v>
      </x:c>
      <x:c r="S286" s="40" t="n">
        <x:v>274094979</x:v>
      </x:c>
      <x:c r="T286" s="40" t="n">
        <x:v>0</x:v>
      </x:c>
      <x:c r="U286" s="40" t="n">
        <x:v>87360</x:v>
      </x:c>
      <x:c r="V286" s="49" t="str">
        <x:v>宫阙3级</x:v>
      </x:c>
      <x:c r="W286" s="49" t="n">
        <x:v>3</x:v>
      </x:c>
      <x:c r="X286" s="52" t="n">
        <x:f>ROUND(100*(0.4*LN(1+Q286)/LN(1+MAX($Q$5:$Q$395))+0.35*R286/MAX($R$5:$R$395)+0.15*S286/MAX($S$5:$S$395)+IF(P286="",0,0.1*P286/MAX($P$5:$P$395)))/IF(P286="",0.9,1),1)</x:f>
        <x:v>29.9</x:v>
      </x:c>
      <x:c r="Y286" s="49" t="n">
        <x:f>RANK.EQ(X286,$X$5:$X$395,0)</x:f>
        <x:v>316</x:v>
      </x:c>
      <x:c r="Z286" s="34" t="str">
        <x:v>保持当前盟，减少迁移成本</x:v>
      </x:c>
      <x:c r="AA286" s="55" t="str">
        <x:v>六维未匹配</x:v>
      </x:c>
    </x:row>
    <x:row r="287" ht="20" customHeight="1">
      <x:c r="A287" s="46" t="n">
        <x:v>190</x:v>
      </x:c>
      <x:c r="B287" s="27" t="str">
        <x:v>吃几个馍</x:v>
      </x:c>
      <x:c r="C287" s="49" t="str">
        <x:v>玲珑</x:v>
      </x:c>
      <x:c r="D287" s="49" t="str">
        <x:v>玲珑</x:v>
      </x:c>
      <x:c r="E287" s="49" t="str">
        <x:v>留盟</x:v>
      </x:c>
      <x:c r="F287" s="49" t="str"/>
      <x:c r="G287" s="49"/>
      <x:c r="H287" s="37"/>
      <x:c r="I287" s="37"/>
      <x:c r="J287" s="40"/>
      <x:c r="K287" s="40"/>
      <x:c r="L287" s="40"/>
      <x:c r="M287" s="40"/>
      <x:c r="N287" s="40"/>
      <x:c r="O287" s="40"/>
      <x:c r="P287" s="40" t="str">
        <x:f>IF(COUNT(J287:O287)=0,"",SUM(J287:O287))</x:f>
      </x:c>
      <x:c r="Q287" s="40" t="n">
        <x:v>0</x:v>
      </x:c>
      <x:c r="R287" s="40" t="n">
        <x:v>72458938</x:v>
      </x:c>
      <x:c r="S287" s="40" t="n">
        <x:v>120113515</x:v>
      </x:c>
      <x:c r="T287" s="40" t="n">
        <x:v>0</x:v>
      </x:c>
      <x:c r="U287" s="40" t="n">
        <x:v>75320</x:v>
      </x:c>
      <x:c r="V287" s="49" t="str">
        <x:v>宫阙3级</x:v>
      </x:c>
      <x:c r="W287" s="49" t="n">
        <x:v>3</x:v>
      </x:c>
      <x:c r="X287" s="52" t="n">
        <x:f>ROUND(100*(0.4*LN(1+Q287)/LN(1+MAX($Q$5:$Q$395))+0.35*R287/MAX($R$5:$R$395)+0.15*S287/MAX($S$5:$S$395)+IF(P287="",0,0.1*P287/MAX($P$5:$P$395)))/IF(P287="",0.9,1),1)</x:f>
        <x:v>24.7</x:v>
      </x:c>
      <x:c r="Y287" s="49" t="n">
        <x:f>RANK.EQ(X287,$X$5:$X$395,0)</x:f>
        <x:v>319</x:v>
      </x:c>
      <x:c r="Z287" s="34" t="str">
        <x:v>保持当前盟，减少迁移成本</x:v>
      </x:c>
      <x:c r="AA287" s="55" t="str">
        <x:v>六维未匹配</x:v>
      </x:c>
    </x:row>
    <x:row r="288" ht="20" customHeight="1">
      <x:c r="A288" s="46" t="n">
        <x:v>189</x:v>
      </x:c>
      <x:c r="B288" s="27" t="str">
        <x:v>王者看天下</x:v>
      </x:c>
      <x:c r="C288" s="49" t="str">
        <x:v>玲珑</x:v>
      </x:c>
      <x:c r="D288" s="49" t="str">
        <x:v>玲珑</x:v>
      </x:c>
      <x:c r="E288" s="49" t="str">
        <x:v>留盟</x:v>
      </x:c>
      <x:c r="F288" s="49" t="str"/>
      <x:c r="G288" s="49"/>
      <x:c r="H288" s="37"/>
      <x:c r="I288" s="37"/>
      <x:c r="J288" s="40"/>
      <x:c r="K288" s="40"/>
      <x:c r="L288" s="40"/>
      <x:c r="M288" s="40"/>
      <x:c r="N288" s="40"/>
      <x:c r="O288" s="40"/>
      <x:c r="P288" s="40" t="str">
        <x:f>IF(COUNT(J288:O288)=0,"",SUM(J288:O288))</x:f>
      </x:c>
      <x:c r="Q288" s="40" t="n">
        <x:v>0</x:v>
      </x:c>
      <x:c r="R288" s="40" t="n">
        <x:v>60029238</x:v>
      </x:c>
      <x:c r="S288" s="40" t="n">
        <x:v>145205349</x:v>
      </x:c>
      <x:c r="T288" s="40" t="n">
        <x:v>0</x:v>
      </x:c>
      <x:c r="U288" s="40" t="n">
        <x:v>124120</x:v>
      </x:c>
      <x:c r="V288" s="49" t="str">
        <x:v>30</x:v>
      </x:c>
      <x:c r="W288" s="49" t="n">
        <x:v>2</x:v>
      </x:c>
      <x:c r="X288" s="52" t="n">
        <x:f>ROUND(100*(0.4*LN(1+Q288)/LN(1+MAX($Q$5:$Q$395))+0.35*R288/MAX($R$5:$R$395)+0.15*S288/MAX($S$5:$S$395)+IF(P288="",0,0.1*P288/MAX($P$5:$P$395)))/IF(P288="",0.9,1),1)</x:f>
        <x:v>22</x:v>
      </x:c>
      <x:c r="Y288" s="49" t="n">
        <x:f>RANK.EQ(X288,$X$5:$X$395,0)</x:f>
        <x:v>323</x:v>
      </x:c>
      <x:c r="Z288" s="34" t="str">
        <x:v>保持当前盟，减少迁移成本</x:v>
      </x:c>
      <x:c r="AA288" s="55" t="str">
        <x:v>六维未匹配</x:v>
      </x:c>
    </x:row>
    <x:row r="289" ht="20" customHeight="1">
      <x:c r="A289" s="46" t="n">
        <x:v>198</x:v>
      </x:c>
      <x:c r="B289" s="27" t="str">
        <x:v>漂亮炮灰</x:v>
      </x:c>
      <x:c r="C289" s="49" t="str">
        <x:v>玲珑</x:v>
      </x:c>
      <x:c r="D289" s="49" t="str">
        <x:v>玲珑</x:v>
      </x:c>
      <x:c r="E289" s="49" t="str">
        <x:v>留盟</x:v>
      </x:c>
      <x:c r="F289" s="49" t="str"/>
      <x:c r="G289" s="49" t="str">
        <x:v>玲珑</x:v>
      </x:c>
      <x:c r="H289" s="37" t="n">
        <x:v>20</x:v>
      </x:c>
      <x:c r="I289" s="37" t="n">
        <x:v>20</x:v>
      </x:c>
      <x:c r="J289" s="40" t="n">
        <x:v>461</x:v>
      </x:c>
      <x:c r="K289" s="40" t="n">
        <x:v>410</x:v>
      </x:c>
      <x:c r="L289" s="40" t="n">
        <x:v>380</x:v>
      </x:c>
      <x:c r="M289" s="40" t="n">
        <x:v>248</x:v>
      </x:c>
      <x:c r="N289" s="40" t="n">
        <x:v>492</x:v>
      </x:c>
      <x:c r="O289" s="40" t="n">
        <x:v>352</x:v>
      </x:c>
      <x:c r="P289" s="40" t="n">
        <x:f>IF(COUNT(J289:O289)=0,"",SUM(J289:O289))</x:f>
        <x:v>2343</x:v>
      </x:c>
      <x:c r="Q289" s="40" t="n">
        <x:v>0</x:v>
      </x:c>
      <x:c r="R289" s="40" t="n">
        <x:v>53310946</x:v>
      </x:c>
      <x:c r="S289" s="40" t="n">
        <x:v>134323294</x:v>
      </x:c>
      <x:c r="T289" s="40" t="n">
        <x:v>0</x:v>
      </x:c>
      <x:c r="U289" s="40" t="n">
        <x:v>15840</x:v>
      </x:c>
      <x:c r="V289" s="49" t="str">
        <x:v>宫阙2级</x:v>
      </x:c>
      <x:c r="W289" s="49" t="n">
        <x:v>2</x:v>
      </x:c>
      <x:c r="X289" s="52" t="n">
        <x:f>ROUND(100*(0.4*LN(1+Q289)/LN(1+MAX($Q$5:$Q$395))+0.35*R289/MAX($R$5:$R$395)+0.15*S289/MAX($S$5:$S$395)+IF(P289="",0,0.1*P289/MAX($P$5:$P$395)))/IF(P289="",0.9,1),1)</x:f>
        <x:v>21.4</x:v>
      </x:c>
      <x:c r="Y289" s="49" t="n">
        <x:f>RANK.EQ(X289,$X$5:$X$395,0)</x:f>
        <x:v>324</x:v>
      </x:c>
      <x:c r="Z289" s="34" t="str">
        <x:v>保持当前盟，减少迁移成本</x:v>
      </x:c>
      <x:c r="AA289" s="55"/>
    </x:row>
    <x:row r="290" ht="20" customHeight="1">
      <x:c r="A290" s="46" t="n">
        <x:v>184</x:v>
      </x:c>
      <x:c r="B290" s="27" t="str">
        <x:v>随缘就好</x:v>
      </x:c>
      <x:c r="C290" s="49" t="str">
        <x:v>玲珑</x:v>
      </x:c>
      <x:c r="D290" s="49" t="str">
        <x:v>玲珑</x:v>
      </x:c>
      <x:c r="E290" s="49" t="str">
        <x:v>留盟</x:v>
      </x:c>
      <x:c r="F290" s="49" t="str"/>
      <x:c r="G290" s="49"/>
      <x:c r="H290" s="37"/>
      <x:c r="I290" s="37"/>
      <x:c r="J290" s="40"/>
      <x:c r="K290" s="40"/>
      <x:c r="L290" s="40"/>
      <x:c r="M290" s="40"/>
      <x:c r="N290" s="40"/>
      <x:c r="O290" s="40"/>
      <x:c r="P290" s="40" t="str">
        <x:f>IF(COUNT(J290:O290)=0,"",SUM(J290:O290))</x:f>
      </x:c>
      <x:c r="Q290" s="40" t="n">
        <x:v>0</x:v>
      </x:c>
      <x:c r="R290" s="40" t="n">
        <x:v>52066755</x:v>
      </x:c>
      <x:c r="S290" s="40" t="n">
        <x:v>113990310</x:v>
      </x:c>
      <x:c r="T290" s="40" t="n">
        <x:v>0</x:v>
      </x:c>
      <x:c r="U290" s="40" t="n">
        <x:v>117920</x:v>
      </x:c>
      <x:c r="V290" s="49" t="str">
        <x:v>30</x:v>
      </x:c>
      <x:c r="W290" s="49" t="n">
        <x:v>2</x:v>
      </x:c>
      <x:c r="X290" s="52" t="n">
        <x:f>ROUND(100*(0.4*LN(1+Q290)/LN(1+MAX($Q$5:$Q$395))+0.35*R290/MAX($R$5:$R$395)+0.15*S290/MAX($S$5:$S$395)+IF(P290="",0,0.1*P290/MAX($P$5:$P$395)))/IF(P290="",0.9,1),1)</x:f>
        <x:v>18.7</x:v>
      </x:c>
      <x:c r="Y290" s="49" t="n">
        <x:f>RANK.EQ(X290,$X$5:$X$395,0)</x:f>
        <x:v>325</x:v>
      </x:c>
      <x:c r="Z290" s="34" t="str">
        <x:v>保持当前盟，减少迁移成本</x:v>
      </x:c>
      <x:c r="AA290" s="55" t="str">
        <x:v>六维未匹配</x:v>
      </x:c>
    </x:row>
    <x:row r="291" ht="20" customHeight="1">
      <x:c r="A291" s="46" t="n">
        <x:v>185</x:v>
      </x:c>
      <x:c r="B291" s="27" t="str">
        <x:v>肥嘟嘟左卫门</x:v>
      </x:c>
      <x:c r="C291" s="49" t="str">
        <x:v>玲珑</x:v>
      </x:c>
      <x:c r="D291" s="49" t="str">
        <x:v>玲珑</x:v>
      </x:c>
      <x:c r="E291" s="49" t="str">
        <x:v>留盟</x:v>
      </x:c>
      <x:c r="F291" s="49" t="str"/>
      <x:c r="G291" s="49"/>
      <x:c r="H291" s="37"/>
      <x:c r="I291" s="37"/>
      <x:c r="J291" s="40"/>
      <x:c r="K291" s="40"/>
      <x:c r="L291" s="40"/>
      <x:c r="M291" s="40"/>
      <x:c r="N291" s="40"/>
      <x:c r="O291" s="40"/>
      <x:c r="P291" s="40" t="str">
        <x:f>IF(COUNT(J291:O291)=0,"",SUM(J291:O291))</x:f>
      </x:c>
      <x:c r="Q291" s="40" t="n">
        <x:v>0</x:v>
      </x:c>
      <x:c r="R291" s="40" t="n">
        <x:v>44883691</x:v>
      </x:c>
      <x:c r="S291" s="40" t="n">
        <x:v>101423624</x:v>
      </x:c>
      <x:c r="T291" s="40" t="n">
        <x:v>0</x:v>
      </x:c>
      <x:c r="U291" s="40" t="n">
        <x:v>219360</x:v>
      </x:c>
      <x:c r="V291" s="49" t="str">
        <x:v>29</x:v>
      </x:c>
      <x:c r="W291" s="49" t="n">
        <x:v>2</x:v>
      </x:c>
      <x:c r="X291" s="52" t="n">
        <x:f>ROUND(100*(0.4*LN(1+Q291)/LN(1+MAX($Q$5:$Q$395))+0.35*R291/MAX($R$5:$R$395)+0.15*S291/MAX($S$5:$S$395)+IF(P291="",0,0.1*P291/MAX($P$5:$P$395)))/IF(P291="",0.9,1),1)</x:f>
        <x:v>16.2</x:v>
      </x:c>
      <x:c r="Y291" s="49" t="n">
        <x:f>RANK.EQ(X291,$X$5:$X$395,0)</x:f>
        <x:v>330</x:v>
      </x:c>
      <x:c r="Z291" s="34" t="str">
        <x:v>保持当前盟，减少迁移成本</x:v>
      </x:c>
      <x:c r="AA291" s="55" t="str">
        <x:v>六维未匹配</x:v>
      </x:c>
    </x:row>
    <x:row r="292" ht="20" customHeight="1">
      <x:c r="A292" s="46" t="n">
        <x:v>193</x:v>
      </x:c>
      <x:c r="B292" s="27" t="str">
        <x:v>月亮代表我的心</x:v>
      </x:c>
      <x:c r="C292" s="49" t="str">
        <x:v>玲珑</x:v>
      </x:c>
      <x:c r="D292" s="49" t="str">
        <x:v>玲珑</x:v>
      </x:c>
      <x:c r="E292" s="49" t="str">
        <x:v>留盟</x:v>
      </x:c>
      <x:c r="F292" s="49" t="str"/>
      <x:c r="G292" s="49"/>
      <x:c r="H292" s="37"/>
      <x:c r="I292" s="37"/>
      <x:c r="J292" s="40"/>
      <x:c r="K292" s="40"/>
      <x:c r="L292" s="40"/>
      <x:c r="M292" s="40"/>
      <x:c r="N292" s="40"/>
      <x:c r="O292" s="40"/>
      <x:c r="P292" s="40" t="str">
        <x:f>IF(COUNT(J292:O292)=0,"",SUM(J292:O292))</x:f>
      </x:c>
      <x:c r="Q292" s="40" t="n">
        <x:v>0</x:v>
      </x:c>
      <x:c r="R292" s="40" t="n">
        <x:v>45319556</x:v>
      </x:c>
      <x:c r="S292" s="40" t="n">
        <x:v>87179324</x:v>
      </x:c>
      <x:c r="T292" s="40" t="n">
        <x:v>0</x:v>
      </x:c>
      <x:c r="U292" s="40" t="n">
        <x:v>54480</x:v>
      </x:c>
      <x:c r="V292" s="49" t="str">
        <x:v>宫阙1级</x:v>
      </x:c>
      <x:c r="W292" s="49" t="n">
        <x:v>2</x:v>
      </x:c>
      <x:c r="X292" s="52" t="n">
        <x:f>ROUND(100*(0.4*LN(1+Q292)/LN(1+MAX($Q$5:$Q$395))+0.35*R292/MAX($R$5:$R$395)+0.15*S292/MAX($S$5:$S$395)+IF(P292="",0,0.1*P292/MAX($P$5:$P$395)))/IF(P292="",0.9,1),1)</x:f>
        <x:v>15.8</x:v>
      </x:c>
      <x:c r="Y292" s="49" t="n">
        <x:f>RANK.EQ(X292,$X$5:$X$395,0)</x:f>
        <x:v>332</x:v>
      </x:c>
      <x:c r="Z292" s="34" t="str">
        <x:v>保持当前盟，减少迁移成本</x:v>
      </x:c>
      <x:c r="AA292" s="55" t="str">
        <x:v>六维未匹配</x:v>
      </x:c>
    </x:row>
    <x:row r="293" ht="20" customHeight="1">
      <x:c r="A293" s="46" t="n">
        <x:v>188</x:v>
      </x:c>
      <x:c r="B293" s="27" t="str">
        <x:v>小米粒</x:v>
      </x:c>
      <x:c r="C293" s="49" t="str">
        <x:v>玲珑</x:v>
      </x:c>
      <x:c r="D293" s="49" t="str">
        <x:v>玲珑</x:v>
      </x:c>
      <x:c r="E293" s="49" t="str">
        <x:v>留盟</x:v>
      </x:c>
      <x:c r="F293" s="49" t="str"/>
      <x:c r="G293" s="49"/>
      <x:c r="H293" s="37"/>
      <x:c r="I293" s="37"/>
      <x:c r="J293" s="40"/>
      <x:c r="K293" s="40"/>
      <x:c r="L293" s="40"/>
      <x:c r="M293" s="40"/>
      <x:c r="N293" s="40"/>
      <x:c r="O293" s="40"/>
      <x:c r="P293" s="40" t="str">
        <x:f>IF(COUNT(J293:O293)=0,"",SUM(J293:O293))</x:f>
      </x:c>
      <x:c r="Q293" s="40" t="n">
        <x:v>0</x:v>
      </x:c>
      <x:c r="R293" s="40" t="n">
        <x:v>40544009</x:v>
      </x:c>
      <x:c r="S293" s="40" t="n">
        <x:v>107513562</x:v>
      </x:c>
      <x:c r="T293" s="40" t="n">
        <x:v>0</x:v>
      </x:c>
      <x:c r="U293" s="40" t="n">
        <x:v>75040</x:v>
      </x:c>
      <x:c r="V293" s="49" t="str">
        <x:v>宫阙1级</x:v>
      </x:c>
      <x:c r="W293" s="49" t="n">
        <x:v>2</x:v>
      </x:c>
      <x:c r="X293" s="52" t="n">
        <x:f>ROUND(100*(0.4*LN(1+Q293)/LN(1+MAX($Q$5:$Q$395))+0.35*R293/MAX($R$5:$R$395)+0.15*S293/MAX($S$5:$S$395)+IF(P293="",0,0.1*P293/MAX($P$5:$P$395)))/IF(P293="",0.9,1),1)</x:f>
        <x:v>15.1</x:v>
      </x:c>
      <x:c r="Y293" s="49" t="n">
        <x:f>RANK.EQ(X293,$X$5:$X$395,0)</x:f>
        <x:v>334</x:v>
      </x:c>
      <x:c r="Z293" s="34" t="str">
        <x:v>保持当前盟，减少迁移成本</x:v>
      </x:c>
      <x:c r="AA293" s="55" t="str">
        <x:v>六维未匹配</x:v>
      </x:c>
    </x:row>
    <x:row r="294" ht="20" customHeight="1">
      <x:c r="A294" s="46" t="n">
        <x:v>187</x:v>
      </x:c>
      <x:c r="B294" s="27" t="str">
        <x:v>天官赐福小雪雪</x:v>
      </x:c>
      <x:c r="C294" s="49" t="str">
        <x:v>玲珑</x:v>
      </x:c>
      <x:c r="D294" s="49" t="str">
        <x:v>玲珑</x:v>
      </x:c>
      <x:c r="E294" s="49" t="str">
        <x:v>留盟</x:v>
      </x:c>
      <x:c r="F294" s="49" t="str"/>
      <x:c r="G294" s="49"/>
      <x:c r="H294" s="37"/>
      <x:c r="I294" s="37"/>
      <x:c r="J294" s="40"/>
      <x:c r="K294" s="40"/>
      <x:c r="L294" s="40"/>
      <x:c r="M294" s="40"/>
      <x:c r="N294" s="40"/>
      <x:c r="O294" s="40"/>
      <x:c r="P294" s="40" t="str">
        <x:f>IF(COUNT(J294:O294)=0,"",SUM(J294:O294))</x:f>
      </x:c>
      <x:c r="Q294" s="40" t="n">
        <x:v>0</x:v>
      </x:c>
      <x:c r="R294" s="40" t="n">
        <x:v>39874451</x:v>
      </x:c>
      <x:c r="S294" s="40" t="n">
        <x:v>66400833</x:v>
      </x:c>
      <x:c r="T294" s="40" t="n">
        <x:v>0</x:v>
      </x:c>
      <x:c r="U294" s="40" t="n">
        <x:v>0</x:v>
      </x:c>
      <x:c r="V294" s="49" t="str">
        <x:v>30</x:v>
      </x:c>
      <x:c r="W294" s="49" t="n">
        <x:v>2</x:v>
      </x:c>
      <x:c r="X294" s="52" t="n">
        <x:f>ROUND(100*(0.4*LN(1+Q294)/LN(1+MAX($Q$5:$Q$395))+0.35*R294/MAX($R$5:$R$395)+0.15*S294/MAX($S$5:$S$395)+IF(P294="",0,0.1*P294/MAX($P$5:$P$395)))/IF(P294="",0.9,1),1)</x:f>
        <x:v>13.6</x:v>
      </x:c>
      <x:c r="Y294" s="49" t="n">
        <x:f>RANK.EQ(X294,$X$5:$X$395,0)</x:f>
        <x:v>336</x:v>
      </x:c>
      <x:c r="Z294" s="34" t="str">
        <x:v>保持当前盟，减少迁移成本</x:v>
      </x:c>
      <x:c r="AA294" s="55" t="str">
        <x:v>六维未匹配</x:v>
      </x:c>
    </x:row>
    <x:row r="295" ht="20" customHeight="1">
      <x:c r="A295" s="46" t="n">
        <x:v>186</x:v>
      </x:c>
      <x:c r="B295" s="27" t="str">
        <x:v>云颠之间</x:v>
      </x:c>
      <x:c r="C295" s="49" t="str">
        <x:v>玲珑</x:v>
      </x:c>
      <x:c r="D295" s="49" t="str">
        <x:v>玲珑</x:v>
      </x:c>
      <x:c r="E295" s="49" t="str">
        <x:v>留盟</x:v>
      </x:c>
      <x:c r="F295" s="49" t="str"/>
      <x:c r="G295" s="49"/>
      <x:c r="H295" s="37"/>
      <x:c r="I295" s="37"/>
      <x:c r="J295" s="40"/>
      <x:c r="K295" s="40"/>
      <x:c r="L295" s="40"/>
      <x:c r="M295" s="40"/>
      <x:c r="N295" s="40"/>
      <x:c r="O295" s="40"/>
      <x:c r="P295" s="40" t="str">
        <x:f>IF(COUNT(J295:O295)=0,"",SUM(J295:O295))</x:f>
      </x:c>
      <x:c r="Q295" s="40" t="n">
        <x:v>0</x:v>
      </x:c>
      <x:c r="R295" s="40" t="n">
        <x:v>39006889</x:v>
      </x:c>
      <x:c r="S295" s="40" t="n">
        <x:v>69203805</x:v>
      </x:c>
      <x:c r="T295" s="40" t="n">
        <x:v>0</x:v>
      </x:c>
      <x:c r="U295" s="40" t="n">
        <x:v>125720</x:v>
      </x:c>
      <x:c r="V295" s="49" t="str">
        <x:v>30</x:v>
      </x:c>
      <x:c r="W295" s="49" t="n">
        <x:v>5</x:v>
      </x:c>
      <x:c r="X295" s="52" t="n">
        <x:f>ROUND(100*(0.4*LN(1+Q295)/LN(1+MAX($Q$5:$Q$395))+0.35*R295/MAX($R$5:$R$395)+0.15*S295/MAX($S$5:$S$395)+IF(P295="",0,0.1*P295/MAX($P$5:$P$395)))/IF(P295="",0.9,1),1)</x:f>
        <x:v>13.4</x:v>
      </x:c>
      <x:c r="Y295" s="49" t="n">
        <x:f>RANK.EQ(X295,$X$5:$X$395,0)</x:f>
        <x:v>338</x:v>
      </x:c>
      <x:c r="Z295" s="34" t="str">
        <x:v>保持当前盟，减少迁移成本</x:v>
      </x:c>
      <x:c r="AA295" s="55" t="str">
        <x:v>六维未匹配</x:v>
      </x:c>
    </x:row>
    <x:row r="296" ht="20" customHeight="1">
      <x:c r="A296" s="46" t="n">
        <x:v>315</x:v>
      </x:c>
      <x:c r="B296" s="27" t="str">
        <x:v>送你一朵小红花</x:v>
      </x:c>
      <x:c r="C296" s="49" t="str">
        <x:v>燕云</x:v>
      </x:c>
      <x:c r="D296" s="49" t="str">
        <x:v>燕云</x:v>
      </x:c>
      <x:c r="E296" s="49" t="str">
        <x:v>留盟</x:v>
      </x:c>
      <x:c r="F296" s="49" t="str">
        <x:v>花晨</x:v>
      </x:c>
      <x:c r="G296" s="49" t="str">
        <x:v>花晨</x:v>
      </x:c>
      <x:c r="H296" s="37" t="n">
        <x:v>28.8</x:v>
      </x:c>
      <x:c r="I296" s="37" t="n">
        <x:v>28.8</x:v>
      </x:c>
      <x:c r="J296" s="40" t="n">
        <x:v>805</x:v>
      </x:c>
      <x:c r="K296" s="40" t="n">
        <x:v>941</x:v>
      </x:c>
      <x:c r="L296" s="40" t="n">
        <x:v>680</x:v>
      </x:c>
      <x:c r="M296" s="40" t="n">
        <x:v>605</x:v>
      </x:c>
      <x:c r="N296" s="40" t="n">
        <x:v>721</x:v>
      </x:c>
      <x:c r="O296" s="40" t="n">
        <x:v>730</x:v>
      </x:c>
      <x:c r="P296" s="40" t="n">
        <x:f>IF(COUNT(J296:O296)=0,"",SUM(J296:O296))</x:f>
        <x:v>4482</x:v>
      </x:c>
      <x:c r="Q296" s="40" t="n">
        <x:v>1599036778</x:v>
      </x:c>
      <x:c r="R296" s="40" t="n">
        <x:v>94073800</x:v>
      </x:c>
      <x:c r="S296" s="40" t="n">
        <x:v>372703972</x:v>
      </x:c>
      <x:c r="T296" s="40" t="n">
        <x:v>0</x:v>
      </x:c>
      <x:c r="U296" s="40" t="n">
        <x:v>58080</x:v>
      </x:c>
      <x:c r="V296" s="49" t="str">
        <x:v>宫阙3级</x:v>
      </x:c>
      <x:c r="W296" s="49" t="n">
        <x:v>2</x:v>
      </x:c>
      <x:c r="X296" s="52" t="n">
        <x:f>ROUND(100*(0.4*LN(1+Q296)/LN(1+MAX($Q$5:$Q$395))+0.35*R296/MAX($R$5:$R$395)+0.15*S296/MAX($S$5:$S$395)+IF(P296="",0,0.1*P296/MAX($P$5:$P$395)))/IF(P296="",0.9,1),1)</x:f>
        <x:v>78.5</x:v>
      </x:c>
      <x:c r="Y296" s="49" t="n">
        <x:f>RANK.EQ(X296,$X$5:$X$395,0)</x:f>
        <x:v>52</x:v>
      </x:c>
      <x:c r="Z296" s="34" t="str">
        <x:v>保持当前盟，减少迁移成本</x:v>
      </x:c>
      <x:c r="AA296" s="55"/>
    </x:row>
    <x:row r="297" ht="20" customHeight="1">
      <x:c r="A297" s="46" t="n">
        <x:v>304</x:v>
      </x:c>
      <x:c r="B297" s="27" t="str">
        <x:v>洛伊宸</x:v>
      </x:c>
      <x:c r="C297" s="49" t="str">
        <x:v>燕云</x:v>
      </x:c>
      <x:c r="D297" s="49" t="str">
        <x:v>燕云</x:v>
      </x:c>
      <x:c r="E297" s="49" t="str">
        <x:v>留盟</x:v>
      </x:c>
      <x:c r="F297" s="49" t="str">
        <x:v>兰亭</x:v>
      </x:c>
      <x:c r="G297" s="49" t="str">
        <x:v>兰亭</x:v>
      </x:c>
      <x:c r="H297" s="37" t="n">
        <x:v>28.8</x:v>
      </x:c>
      <x:c r="I297" s="37" t="n">
        <x:v>28.8</x:v>
      </x:c>
      <x:c r="J297" s="40" t="n">
        <x:v>777</x:v>
      </x:c>
      <x:c r="K297" s="40" t="n">
        <x:v>914</x:v>
      </x:c>
      <x:c r="L297" s="40" t="n">
        <x:v>622</x:v>
      </x:c>
      <x:c r="M297" s="40" t="n">
        <x:v>509</x:v>
      </x:c>
      <x:c r="N297" s="40" t="n">
        <x:v>753</x:v>
      </x:c>
      <x:c r="O297" s="40" t="n">
        <x:v>711</x:v>
      </x:c>
      <x:c r="P297" s="40" t="n">
        <x:f>IF(COUNT(J297:O297)=0,"",SUM(J297:O297))</x:f>
        <x:v>4286</x:v>
      </x:c>
      <x:c r="Q297" s="40" t="n">
        <x:v>5263190808</x:v>
      </x:c>
      <x:c r="R297" s="40" t="n">
        <x:v>94717520</x:v>
      </x:c>
      <x:c r="S297" s="40" t="n">
        <x:v>293759388</x:v>
      </x:c>
      <x:c r="T297" s="40" t="n">
        <x:v>0</x:v>
      </x:c>
      <x:c r="U297" s="40" t="n">
        <x:v>55920</x:v>
      </x:c>
      <x:c r="V297" s="49" t="str">
        <x:v>宫阙3级</x:v>
      </x:c>
      <x:c r="W297" s="49" t="n">
        <x:v>3</x:v>
      </x:c>
      <x:c r="X297" s="52" t="n">
        <x:f>ROUND(100*(0.4*LN(1+Q297)/LN(1+MAX($Q$5:$Q$395))+0.35*R297/MAX($R$5:$R$395)+0.15*S297/MAX($S$5:$S$395)+IF(P297="",0,0.1*P297/MAX($P$5:$P$395)))/IF(P297="",0.9,1),1)</x:f>
        <x:v>78.1</x:v>
      </x:c>
      <x:c r="Y297" s="49" t="n">
        <x:f>RANK.EQ(X297,$X$5:$X$395,0)</x:f>
        <x:v>57</x:v>
      </x:c>
      <x:c r="Z297" s="34" t="str">
        <x:v>保持当前盟，减少迁移成本</x:v>
      </x:c>
      <x:c r="AA297" s="55"/>
    </x:row>
    <x:row r="298" ht="20" customHeight="1">
      <x:c r="A298" s="46" t="n">
        <x:v>313</x:v>
      </x:c>
      <x:c r="B298" s="27" t="str">
        <x:v>柴里柴气</x:v>
      </x:c>
      <x:c r="C298" s="49" t="str">
        <x:v>燕云</x:v>
      </x:c>
      <x:c r="D298" s="49" t="str">
        <x:v>燕云</x:v>
      </x:c>
      <x:c r="E298" s="49" t="str">
        <x:v>留盟</x:v>
      </x:c>
      <x:c r="F298" s="49" t="str"/>
      <x:c r="G298" s="49"/>
      <x:c r="H298" s="37"/>
      <x:c r="I298" s="37"/>
      <x:c r="J298" s="40"/>
      <x:c r="K298" s="40"/>
      <x:c r="L298" s="40"/>
      <x:c r="M298" s="40"/>
      <x:c r="N298" s="40"/>
      <x:c r="O298" s="40"/>
      <x:c r="P298" s="40" t="str">
        <x:f>IF(COUNT(J298:O298)=0,"",SUM(J298:O298))</x:f>
      </x:c>
      <x:c r="Q298" s="40" t="n">
        <x:v>2867693868</x:v>
      </x:c>
      <x:c r="R298" s="40" t="n">
        <x:v>90301001</x:v>
      </x:c>
      <x:c r="S298" s="40" t="n">
        <x:v>323002847</x:v>
      </x:c>
      <x:c r="T298" s="40" t="n">
        <x:v>0</x:v>
      </x:c>
      <x:c r="U298" s="40" t="n">
        <x:v>89400</x:v>
      </x:c>
      <x:c r="V298" s="49" t="str">
        <x:v>宫阙3级</x:v>
      </x:c>
      <x:c r="W298" s="49" t="n">
        <x:v>4</x:v>
      </x:c>
      <x:c r="X298" s="52" t="n">
        <x:f>ROUND(100*(0.4*LN(1+Q298)/LN(1+MAX($Q$5:$Q$395))+0.35*R298/MAX($R$5:$R$395)+0.15*S298/MAX($S$5:$S$395)+IF(P298="",0,0.1*P298/MAX($P$5:$P$395)))/IF(P298="",0.9,1),1)</x:f>
        <x:v>77.8</x:v>
      </x:c>
      <x:c r="Y298" s="49" t="n">
        <x:f>RANK.EQ(X298,$X$5:$X$395,0)</x:f>
        <x:v>60</x:v>
      </x:c>
      <x:c r="Z298" s="34" t="str">
        <x:v>保持当前盟，减少迁移成本</x:v>
      </x:c>
      <x:c r="AA298" s="55" t="str">
        <x:v>六维未匹配</x:v>
      </x:c>
    </x:row>
    <x:row r="299" ht="20" customHeight="1">
      <x:c r="A299" s="46" t="n">
        <x:v>302</x:v>
      </x:c>
      <x:c r="B299" s="27" t="str">
        <x:v>榴芒不忙</x:v>
      </x:c>
      <x:c r="C299" s="49" t="str">
        <x:v>燕云</x:v>
      </x:c>
      <x:c r="D299" s="49" t="str">
        <x:v>燕云</x:v>
      </x:c>
      <x:c r="E299" s="49" t="str">
        <x:v>留盟</x:v>
      </x:c>
      <x:c r="F299" s="49" t="str">
        <x:v>兰亭</x:v>
      </x:c>
      <x:c r="G299" s="49" t="str">
        <x:v>兰亭</x:v>
      </x:c>
      <x:c r="H299" s="37" t="n">
        <x:v>28.8</x:v>
      </x:c>
      <x:c r="I299" s="37" t="n">
        <x:v>28.8</x:v>
      </x:c>
      <x:c r="J299" s="40" t="n">
        <x:v>842</x:v>
      </x:c>
      <x:c r="K299" s="40" t="n">
        <x:v>1017</x:v>
      </x:c>
      <x:c r="L299" s="40" t="n">
        <x:v>664</x:v>
      </x:c>
      <x:c r="M299" s="40" t="n">
        <x:v>572</x:v>
      </x:c>
      <x:c r="N299" s="40" t="n">
        <x:v>753</x:v>
      </x:c>
      <x:c r="O299" s="40" t="n">
        <x:v>825</x:v>
      </x:c>
      <x:c r="P299" s="40" t="n">
        <x:f>IF(COUNT(J299:O299)=0,"",SUM(J299:O299))</x:f>
        <x:v>4673</x:v>
      </x:c>
      <x:c r="Q299" s="40" t="n">
        <x:v>6138877872</x:v>
      </x:c>
      <x:c r="R299" s="40" t="n">
        <x:v>89846513</x:v>
      </x:c>
      <x:c r="S299" s="40" t="n">
        <x:v>257519075</x:v>
      </x:c>
      <x:c r="T299" s="40" t="n">
        <x:v>0</x:v>
      </x:c>
      <x:c r="U299" s="40" t="n">
        <x:v>94080</x:v>
      </x:c>
      <x:c r="V299" s="49" t="str">
        <x:v>宫阙3级</x:v>
      </x:c>
      <x:c r="W299" s="49" t="n">
        <x:v>3</x:v>
      </x:c>
      <x:c r="X299" s="52" t="n">
        <x:f>ROUND(100*(0.4*LN(1+Q299)/LN(1+MAX($Q$5:$Q$395))+0.35*R299/MAX($R$5:$R$395)+0.15*S299/MAX($S$5:$S$395)+IF(P299="",0,0.1*P299/MAX($P$5:$P$395)))/IF(P299="",0.9,1),1)</x:f>
        <x:v>76.6</x:v>
      </x:c>
      <x:c r="Y299" s="49" t="n">
        <x:f>RANK.EQ(X299,$X$5:$X$395,0)</x:f>
        <x:v>73</x:v>
      </x:c>
      <x:c r="Z299" s="34" t="str">
        <x:v>保持当前盟，减少迁移成本</x:v>
      </x:c>
      <x:c r="AA299" s="55"/>
    </x:row>
    <x:row r="300" ht="20" customHeight="1">
      <x:c r="A300" s="46" t="n">
        <x:v>312</x:v>
      </x:c>
      <x:c r="B300" s="27" t="str">
        <x:v>太阳系的小蚂蚁</x:v>
      </x:c>
      <x:c r="C300" s="49" t="str">
        <x:v>燕云</x:v>
      </x:c>
      <x:c r="D300" s="49" t="str">
        <x:v>燕云</x:v>
      </x:c>
      <x:c r="E300" s="49" t="str">
        <x:v>留盟</x:v>
      </x:c>
      <x:c r="F300" s="49" t="str">
        <x:v>兰亭</x:v>
      </x:c>
      <x:c r="G300" s="49" t="str">
        <x:v>兰亭</x:v>
      </x:c>
      <x:c r="H300" s="37" t="n">
        <x:v>28.78</x:v>
      </x:c>
      <x:c r="I300" s="37" t="n">
        <x:v>28.78</x:v>
      </x:c>
      <x:c r="J300" s="40" t="n">
        <x:v>767</x:v>
      </x:c>
      <x:c r="K300" s="40" t="n">
        <x:v>984</x:v>
      </x:c>
      <x:c r="L300" s="40" t="n">
        <x:v>688</x:v>
      </x:c>
      <x:c r="M300" s="40" t="n">
        <x:v>830</x:v>
      </x:c>
      <x:c r="N300" s="40" t="n">
        <x:v>730</x:v>
      </x:c>
      <x:c r="O300" s="40" t="n">
        <x:v>890</x:v>
      </x:c>
      <x:c r="P300" s="40" t="n">
        <x:f>IF(COUNT(J300:O300)=0,"",SUM(J300:O300))</x:f>
        <x:v>4889</x:v>
      </x:c>
      <x:c r="Q300" s="40" t="n">
        <x:v>3198170696</x:v>
      </x:c>
      <x:c r="R300" s="40" t="n">
        <x:v>97864952</x:v>
      </x:c>
      <x:c r="S300" s="40" t="n">
        <x:v>189185398</x:v>
      </x:c>
      <x:c r="T300" s="40" t="n">
        <x:v>0</x:v>
      </x:c>
      <x:c r="U300" s="40" t="n">
        <x:v>77760</x:v>
      </x:c>
      <x:c r="V300" s="49" t="str">
        <x:v>宫阙3级</x:v>
      </x:c>
      <x:c r="W300" s="49" t="n">
        <x:v>3</x:v>
      </x:c>
      <x:c r="X300" s="52" t="n">
        <x:f>ROUND(100*(0.4*LN(1+Q300)/LN(1+MAX($Q$5:$Q$395))+0.35*R300/MAX($R$5:$R$395)+0.15*S300/MAX($S$5:$S$395)+IF(P300="",0,0.1*P300/MAX($P$5:$P$395)))/IF(P300="",0.9,1),1)</x:f>
        <x:v>75.9</x:v>
      </x:c>
      <x:c r="Y300" s="49" t="n">
        <x:f>RANK.EQ(X300,$X$5:$X$395,0)</x:f>
        <x:v>86</x:v>
      </x:c>
      <x:c r="Z300" s="34" t="str">
        <x:v>保持当前盟，减少迁移成本</x:v>
      </x:c>
      <x:c r="AA300" s="55"/>
    </x:row>
    <x:row r="301" ht="20" customHeight="1">
      <x:c r="A301" s="46" t="n">
        <x:v>309</x:v>
      </x:c>
      <x:c r="B301" s="27" t="str">
        <x:v>已禁言</x:v>
      </x:c>
      <x:c r="C301" s="49" t="str">
        <x:v>燕云</x:v>
      </x:c>
      <x:c r="D301" s="49" t="str">
        <x:v>燕云</x:v>
      </x:c>
      <x:c r="E301" s="49" t="str">
        <x:v>留盟</x:v>
      </x:c>
      <x:c r="F301" s="49" t="str"/>
      <x:c r="G301" s="49"/>
      <x:c r="H301" s="37"/>
      <x:c r="I301" s="37"/>
      <x:c r="J301" s="40"/>
      <x:c r="K301" s="40"/>
      <x:c r="L301" s="40"/>
      <x:c r="M301" s="40"/>
      <x:c r="N301" s="40"/>
      <x:c r="O301" s="40"/>
      <x:c r="P301" s="40" t="str">
        <x:f>IF(COUNT(J301:O301)=0,"",SUM(J301:O301))</x:f>
      </x:c>
      <x:c r="Q301" s="40" t="n">
        <x:v>3805050278</x:v>
      </x:c>
      <x:c r="R301" s="40" t="n">
        <x:v>87246477</x:v>
      </x:c>
      <x:c r="S301" s="40" t="n">
        <x:v>268996723</x:v>
      </x:c>
      <x:c r="T301" s="40" t="n">
        <x:v>0</x:v>
      </x:c>
      <x:c r="U301" s="40" t="n">
        <x:v>68880</x:v>
      </x:c>
      <x:c r="V301" s="49" t="str">
        <x:v>宫阙3级</x:v>
      </x:c>
      <x:c r="W301" s="49" t="n">
        <x:v>2</x:v>
      </x:c>
      <x:c r="X301" s="52" t="n">
        <x:f>ROUND(100*(0.4*LN(1+Q301)/LN(1+MAX($Q$5:$Q$395))+0.35*R301/MAX($R$5:$R$395)+0.15*S301/MAX($S$5:$S$395)+IF(P301="",0,0.1*P301/MAX($P$5:$P$395)))/IF(P301="",0.9,1),1)</x:f>
        <x:v>75.7</x:v>
      </x:c>
      <x:c r="Y301" s="49" t="n">
        <x:f>RANK.EQ(X301,$X$5:$X$395,0)</x:f>
        <x:v>92</x:v>
      </x:c>
      <x:c r="Z301" s="34" t="str">
        <x:v>保持当前盟，减少迁移成本</x:v>
      </x:c>
      <x:c r="AA301" s="55" t="str">
        <x:v>六维未匹配</x:v>
      </x:c>
    </x:row>
    <x:row r="302" ht="20" customHeight="1">
      <x:c r="A302" s="46" t="n">
        <x:v>303</x:v>
      </x:c>
      <x:c r="B302" s="27" t="str">
        <x:v>归墟彼岸摘桃花</x:v>
      </x:c>
      <x:c r="C302" s="49" t="str">
        <x:v>燕云</x:v>
      </x:c>
      <x:c r="D302" s="49" t="str">
        <x:v>燕云</x:v>
      </x:c>
      <x:c r="E302" s="49" t="str">
        <x:v>留盟</x:v>
      </x:c>
      <x:c r="F302" s="49" t="str">
        <x:v>兰亭</x:v>
      </x:c>
      <x:c r="G302" s="49" t="str">
        <x:v>兰亭</x:v>
      </x:c>
      <x:c r="H302" s="37" t="n">
        <x:v>24.4</x:v>
      </x:c>
      <x:c r="I302" s="37" t="n">
        <x:v>24.4</x:v>
      </x:c>
      <x:c r="J302" s="40" t="n">
        <x:v>508</x:v>
      </x:c>
      <x:c r="K302" s="40" t="n">
        <x:v>605</x:v>
      </x:c>
      <x:c r="L302" s="40" t="n">
        <x:v>584</x:v>
      </x:c>
      <x:c r="M302" s="40" t="n">
        <x:v>502</x:v>
      </x:c>
      <x:c r="N302" s="40" t="n">
        <x:v>646</x:v>
      </x:c>
      <x:c r="O302" s="40" t="n">
        <x:v>580</x:v>
      </x:c>
      <x:c r="P302" s="40" t="n">
        <x:f>IF(COUNT(J302:O302)=0,"",SUM(J302:O302))</x:f>
        <x:v>3425</x:v>
      </x:c>
      <x:c r="Q302" s="40" t="n">
        <x:v>5783644508</x:v>
      </x:c>
      <x:c r="R302" s="40" t="n">
        <x:v>90754494</x:v>
      </x:c>
      <x:c r="S302" s="40" t="n">
        <x:v>286859933</x:v>
      </x:c>
      <x:c r="T302" s="40" t="n">
        <x:v>0</x:v>
      </x:c>
      <x:c r="U302" s="40" t="n">
        <x:v>118560</x:v>
      </x:c>
      <x:c r="V302" s="49" t="str">
        <x:v>宫阙3级</x:v>
      </x:c>
      <x:c r="W302" s="49" t="n">
        <x:v>3</x:v>
      </x:c>
      <x:c r="X302" s="52" t="n">
        <x:f>ROUND(100*(0.4*LN(1+Q302)/LN(1+MAX($Q$5:$Q$395))+0.35*R302/MAX($R$5:$R$395)+0.15*S302/MAX($S$5:$S$395)+IF(P302="",0,0.1*P302/MAX($P$5:$P$395)))/IF(P302="",0.9,1),1)</x:f>
        <x:v>75.7</x:v>
      </x:c>
      <x:c r="Y302" s="49" t="n">
        <x:f>RANK.EQ(X302,$X$5:$X$395,0)</x:f>
        <x:v>92</x:v>
      </x:c>
      <x:c r="Z302" s="34" t="str">
        <x:v>保持当前盟，减少迁移成本</x:v>
      </x:c>
      <x:c r="AA302" s="55"/>
    </x:row>
    <x:row r="303" ht="20" customHeight="1">
      <x:c r="A303" s="46" t="n">
        <x:v>311</x:v>
      </x:c>
      <x:c r="B303" s="27" t="str">
        <x:v>温酒叙平生</x:v>
      </x:c>
      <x:c r="C303" s="49" t="str">
        <x:v>燕云</x:v>
      </x:c>
      <x:c r="D303" s="49" t="str">
        <x:v>燕云</x:v>
      </x:c>
      <x:c r="E303" s="49" t="str">
        <x:v>留盟</x:v>
      </x:c>
      <x:c r="F303" s="49" t="str"/>
      <x:c r="G303" s="49"/>
      <x:c r="H303" s="37"/>
      <x:c r="I303" s="37"/>
      <x:c r="J303" s="40"/>
      <x:c r="K303" s="40"/>
      <x:c r="L303" s="40"/>
      <x:c r="M303" s="40"/>
      <x:c r="N303" s="40"/>
      <x:c r="O303" s="40"/>
      <x:c r="P303" s="40" t="str">
        <x:f>IF(COUNT(J303:O303)=0,"",SUM(J303:O303))</x:f>
      </x:c>
      <x:c r="Q303" s="40" t="n">
        <x:v>3422383554</x:v>
      </x:c>
      <x:c r="R303" s="40" t="n">
        <x:v>84736773</x:v>
      </x:c>
      <x:c r="S303" s="40" t="n">
        <x:v>201045151</x:v>
      </x:c>
      <x:c r="T303" s="40" t="n">
        <x:v>0</x:v>
      </x:c>
      <x:c r="U303" s="40" t="n">
        <x:v>71040</x:v>
      </x:c>
      <x:c r="V303" s="49" t="str">
        <x:v>宫阙3级</x:v>
      </x:c>
      <x:c r="W303" s="49" t="n">
        <x:v>4</x:v>
      </x:c>
      <x:c r="X303" s="52" t="n">
        <x:f>ROUND(100*(0.4*LN(1+Q303)/LN(1+MAX($Q$5:$Q$395))+0.35*R303/MAX($R$5:$R$395)+0.15*S303/MAX($S$5:$S$395)+IF(P303="",0,0.1*P303/MAX($P$5:$P$395)))/IF(P303="",0.9,1),1)</x:f>
        <x:v>72.6</x:v>
      </x:c>
      <x:c r="Y303" s="49" t="n">
        <x:f>RANK.EQ(X303,$X$5:$X$395,0)</x:f>
        <x:v>151</x:v>
      </x:c>
      <x:c r="Z303" s="34" t="str">
        <x:v>保持当前盟，减少迁移成本</x:v>
      </x:c>
      <x:c r="AA303" s="55" t="str">
        <x:v>六维未匹配</x:v>
      </x:c>
    </x:row>
    <x:row r="304" ht="20" customHeight="1">
      <x:c r="A304" s="46" t="n">
        <x:v>308</x:v>
      </x:c>
      <x:c r="B304" s="27" t="str">
        <x:v>尼古拉斯卢波波</x:v>
      </x:c>
      <x:c r="C304" s="49" t="str">
        <x:v>燕云</x:v>
      </x:c>
      <x:c r="D304" s="49" t="str">
        <x:v>燕云</x:v>
      </x:c>
      <x:c r="E304" s="49" t="str">
        <x:v>留盟</x:v>
      </x:c>
      <x:c r="F304" s="49" t="str">
        <x:v>兰亭</x:v>
      </x:c>
      <x:c r="G304" s="49" t="str">
        <x:v>兰亭</x:v>
      </x:c>
      <x:c r="H304" s="37" t="n">
        <x:v>28.8</x:v>
      </x:c>
      <x:c r="I304" s="37" t="n">
        <x:v>28.8</x:v>
      </x:c>
      <x:c r="J304" s="40" t="n">
        <x:v>726</x:v>
      </x:c>
      <x:c r="K304" s="40" t="n">
        <x:v>878</x:v>
      </x:c>
      <x:c r="L304" s="40" t="n">
        <x:v>624</x:v>
      </x:c>
      <x:c r="M304" s="40" t="n">
        <x:v>431</x:v>
      </x:c>
      <x:c r="N304" s="40" t="n">
        <x:v>677</x:v>
      </x:c>
      <x:c r="O304" s="40" t="n">
        <x:v>721</x:v>
      </x:c>
      <x:c r="P304" s="40" t="n">
        <x:f>IF(COUNT(J304:O304)=0,"",SUM(J304:O304))</x:f>
        <x:v>4057</x:v>
      </x:c>
      <x:c r="Q304" s="40" t="n">
        <x:v>4339597274</x:v>
      </x:c>
      <x:c r="R304" s="40" t="n">
        <x:v>82317814</x:v>
      </x:c>
      <x:c r="S304" s="40" t="n">
        <x:v>236780728</x:v>
      </x:c>
      <x:c r="T304" s="40" t="n">
        <x:v>0</x:v>
      </x:c>
      <x:c r="U304" s="40" t="n">
        <x:v>56160</x:v>
      </x:c>
      <x:c r="V304" s="49" t="str">
        <x:v>宫阙3级</x:v>
      </x:c>
      <x:c r="W304" s="49" t="n">
        <x:v>3</x:v>
      </x:c>
      <x:c r="X304" s="52" t="n">
        <x:f>ROUND(100*(0.4*LN(1+Q304)/LN(1+MAX($Q$5:$Q$395))+0.35*R304/MAX($R$5:$R$395)+0.15*S304/MAX($S$5:$S$395)+IF(P304="",0,0.1*P304/MAX($P$5:$P$395)))/IF(P304="",0.9,1),1)</x:f>
        <x:v>72.5</x:v>
      </x:c>
      <x:c r="Y304" s="49" t="n">
        <x:f>RANK.EQ(X304,$X$5:$X$395,0)</x:f>
        <x:v>152</x:v>
      </x:c>
      <x:c r="Z304" s="34" t="str">
        <x:v>保持当前盟，减少迁移成本</x:v>
      </x:c>
      <x:c r="AA304" s="55"/>
    </x:row>
    <x:row r="305" ht="20" customHeight="1">
      <x:c r="A305" s="46" t="n">
        <x:v>322</x:v>
      </x:c>
      <x:c r="B305" s="27" t="str">
        <x:v>小树叶</x:v>
      </x:c>
      <x:c r="C305" s="49" t="str">
        <x:v>燕云</x:v>
      </x:c>
      <x:c r="D305" s="49" t="str">
        <x:v>燕云</x:v>
      </x:c>
      <x:c r="E305" s="49" t="str">
        <x:v>留盟</x:v>
      </x:c>
      <x:c r="F305" s="49" t="str"/>
      <x:c r="G305" s="49"/>
      <x:c r="H305" s="37"/>
      <x:c r="I305" s="37"/>
      <x:c r="J305" s="40"/>
      <x:c r="K305" s="40"/>
      <x:c r="L305" s="40"/>
      <x:c r="M305" s="40"/>
      <x:c r="N305" s="40"/>
      <x:c r="O305" s="40"/>
      <x:c r="P305" s="40" t="str">
        <x:f>IF(COUNT(J305:O305)=0,"",SUM(J305:O305))</x:f>
      </x:c>
      <x:c r="Q305" s="40" t="n">
        <x:v>310866074</x:v>
      </x:c>
      <x:c r="R305" s="40" t="n">
        <x:v>82152627</x:v>
      </x:c>
      <x:c r="S305" s="40" t="n">
        <x:v>341983944</x:v>
      </x:c>
      <x:c r="T305" s="40" t="n">
        <x:v>0</x:v>
      </x:c>
      <x:c r="U305" s="40" t="n">
        <x:v>78960</x:v>
      </x:c>
      <x:c r="V305" s="49" t="str">
        <x:v>宫阙3级</x:v>
      </x:c>
      <x:c r="W305" s="49" t="n">
        <x:v>2</x:v>
      </x:c>
      <x:c r="X305" s="52" t="n">
        <x:f>ROUND(100*(0.4*LN(1+Q305)/LN(1+MAX($Q$5:$Q$395))+0.35*R305/MAX($R$5:$R$395)+0.15*S305/MAX($S$5:$S$395)+IF(P305="",0,0.1*P305/MAX($P$5:$P$395)))/IF(P305="",0.9,1),1)</x:f>
        <x:v>71.9</x:v>
      </x:c>
      <x:c r="Y305" s="49" t="n">
        <x:f>RANK.EQ(X305,$X$5:$X$395,0)</x:f>
        <x:v>168</x:v>
      </x:c>
      <x:c r="Z305" s="34" t="str">
        <x:v>保持当前盟，减少迁移成本</x:v>
      </x:c>
      <x:c r="AA305" s="55" t="str">
        <x:v>六维未匹配</x:v>
      </x:c>
    </x:row>
    <x:row r="306" ht="20" customHeight="1">
      <x:c r="A306" s="46" t="n">
        <x:v>306</x:v>
      </x:c>
      <x:c r="B306" s="27" t="str">
        <x:v>听海眠夏</x:v>
      </x:c>
      <x:c r="C306" s="49" t="str">
        <x:v>燕云</x:v>
      </x:c>
      <x:c r="D306" s="49" t="str">
        <x:v>燕云</x:v>
      </x:c>
      <x:c r="E306" s="49" t="str">
        <x:v>留盟</x:v>
      </x:c>
      <x:c r="F306" s="49" t="str">
        <x:v>兰亭</x:v>
      </x:c>
      <x:c r="G306" s="49" t="str">
        <x:v>兰亭</x:v>
      </x:c>
      <x:c r="H306" s="37" t="n">
        <x:v>25.4</x:v>
      </x:c>
      <x:c r="I306" s="37" t="n">
        <x:v>25.4</x:v>
      </x:c>
      <x:c r="J306" s="40" t="n">
        <x:v>665</x:v>
      </x:c>
      <x:c r="K306" s="40" t="n">
        <x:v>900</x:v>
      </x:c>
      <x:c r="L306" s="40" t="n">
        <x:v>525</x:v>
      </x:c>
      <x:c r="M306" s="40" t="n">
        <x:v>545</x:v>
      </x:c>
      <x:c r="N306" s="40" t="n">
        <x:v>636</x:v>
      </x:c>
      <x:c r="O306" s="40" t="n">
        <x:v>829</x:v>
      </x:c>
      <x:c r="P306" s="40" t="n">
        <x:f>IF(COUNT(J306:O306)=0,"",SUM(J306:O306))</x:f>
        <x:v>4100</x:v>
      </x:c>
      <x:c r="Q306" s="40" t="n">
        <x:v>4939013516</x:v>
      </x:c>
      <x:c r="R306" s="40" t="n">
        <x:v>89049249</x:v>
      </x:c>
      <x:c r="S306" s="40" t="n">
        <x:v>143873867</x:v>
      </x:c>
      <x:c r="T306" s="40" t="n">
        <x:v>0</x:v>
      </x:c>
      <x:c r="U306" s="40" t="n">
        <x:v>93840</x:v>
      </x:c>
      <x:c r="V306" s="49" t="str">
        <x:v>宫阙3级</x:v>
      </x:c>
      <x:c r="W306" s="49" t="n">
        <x:v>3</x:v>
      </x:c>
      <x:c r="X306" s="52" t="n">
        <x:f>ROUND(100*(0.4*LN(1+Q306)/LN(1+MAX($Q$5:$Q$395))+0.35*R306/MAX($R$5:$R$395)+0.15*S306/MAX($S$5:$S$395)+IF(P306="",0,0.1*P306/MAX($P$5:$P$395)))/IF(P306="",0.9,1),1)</x:f>
        <x:v>71.8</x:v>
      </x:c>
      <x:c r="Y306" s="49" t="n">
        <x:f>RANK.EQ(X306,$X$5:$X$395,0)</x:f>
        <x:v>170</x:v>
      </x:c>
      <x:c r="Z306" s="34" t="str">
        <x:v>保持当前盟，减少迁移成本</x:v>
      </x:c>
      <x:c r="AA306" s="55"/>
    </x:row>
    <x:row r="307" ht="20" customHeight="1">
      <x:c r="A307" s="46" t="n">
        <x:v>301</x:v>
      </x:c>
      <x:c r="B307" s="27" t="str">
        <x:v>星河里的小太阳</x:v>
      </x:c>
      <x:c r="C307" s="49" t="str">
        <x:v>燕云</x:v>
      </x:c>
      <x:c r="D307" s="49" t="str">
        <x:v>燕云</x:v>
      </x:c>
      <x:c r="E307" s="49" t="str">
        <x:v>留盟</x:v>
      </x:c>
      <x:c r="F307" s="49" t="str">
        <x:v>兰亭</x:v>
      </x:c>
      <x:c r="G307" s="49" t="str">
        <x:v>兰亭</x:v>
      </x:c>
      <x:c r="H307" s="37" t="n">
        <x:v>28.8</x:v>
      </x:c>
      <x:c r="I307" s="37" t="n">
        <x:v>28.8</x:v>
      </x:c>
      <x:c r="J307" s="40" t="n">
        <x:v>694</x:v>
      </x:c>
      <x:c r="K307" s="40" t="n">
        <x:v>825</x:v>
      </x:c>
      <x:c r="L307" s="40" t="n">
        <x:v>561</x:v>
      </x:c>
      <x:c r="M307" s="40" t="n">
        <x:v>338</x:v>
      </x:c>
      <x:c r="N307" s="40" t="n">
        <x:v>710</x:v>
      </x:c>
      <x:c r="O307" s="40" t="n">
        <x:v>608</x:v>
      </x:c>
      <x:c r="P307" s="40" t="n">
        <x:f>IF(COUNT(J307:O307)=0,"",SUM(J307:O307))</x:f>
        <x:v>3736</x:v>
      </x:c>
      <x:c r="Q307" s="40" t="n">
        <x:v>6272912214</x:v>
      </x:c>
      <x:c r="R307" s="40" t="n">
        <x:v>76292914</x:v>
      </x:c>
      <x:c r="S307" s="40" t="n">
        <x:v>254285255</x:v>
      </x:c>
      <x:c r="T307" s="40" t="n">
        <x:v>0</x:v>
      </x:c>
      <x:c r="U307" s="40" t="n">
        <x:v>89760</x:v>
      </x:c>
      <x:c r="V307" s="49" t="str">
        <x:v>宫阙3级</x:v>
      </x:c>
      <x:c r="W307" s="49" t="n">
        <x:v>3</x:v>
      </x:c>
      <x:c r="X307" s="52" t="n">
        <x:f>ROUND(100*(0.4*LN(1+Q307)/LN(1+MAX($Q$5:$Q$395))+0.35*R307/MAX($R$5:$R$395)+0.15*S307/MAX($S$5:$S$395)+IF(P307="",0,0.1*P307/MAX($P$5:$P$395)))/IF(P307="",0.9,1),1)</x:f>
        <x:v>71.6</x:v>
      </x:c>
      <x:c r="Y307" s="49" t="n">
        <x:f>RANK.EQ(X307,$X$5:$X$395,0)</x:f>
        <x:v>174</x:v>
      </x:c>
      <x:c r="Z307" s="34" t="str">
        <x:v>保持当前盟，减少迁移成本</x:v>
      </x:c>
      <x:c r="AA307" s="55"/>
    </x:row>
    <x:row r="308" ht="20" customHeight="1">
      <x:c r="A308" s="46" t="n">
        <x:v>316</x:v>
      </x:c>
      <x:c r="B308" s="27" t="str">
        <x:v>荔枝吖</x:v>
      </x:c>
      <x:c r="C308" s="49" t="str">
        <x:v>燕云</x:v>
      </x:c>
      <x:c r="D308" s="49" t="str">
        <x:v>燕云</x:v>
      </x:c>
      <x:c r="E308" s="49" t="str">
        <x:v>留盟</x:v>
      </x:c>
      <x:c r="F308" s="49" t="str"/>
      <x:c r="G308" s="49"/>
      <x:c r="H308" s="37" t="n">
        <x:v>24.78</x:v>
      </x:c>
      <x:c r="I308" s="37"/>
      <x:c r="J308" s="40" t="n">
        <x:v>651</x:v>
      </x:c>
      <x:c r="K308" s="40" t="n">
        <x:v>441</x:v>
      </x:c>
      <x:c r="L308" s="40" t="n">
        <x:v>630</x:v>
      </x:c>
      <x:c r="M308" s="40" t="n">
        <x:v>433</x:v>
      </x:c>
      <x:c r="N308" s="40" t="n">
        <x:v>719</x:v>
      </x:c>
      <x:c r="O308" s="40" t="n">
        <x:v>580</x:v>
      </x:c>
      <x:c r="P308" s="40" t="n">
        <x:f>IF(COUNT(J308:O308)=0,"",SUM(J308:O308))</x:f>
        <x:v>3454</x:v>
      </x:c>
      <x:c r="Q308" s="40" t="n">
        <x:v>1554098234</x:v>
      </x:c>
      <x:c r="R308" s="40" t="n">
        <x:v>75643544</x:v>
      </x:c>
      <x:c r="S308" s="40" t="n">
        <x:v>264486161</x:v>
      </x:c>
      <x:c r="T308" s="40" t="n">
        <x:v>0</x:v>
      </x:c>
      <x:c r="U308" s="40" t="n">
        <x:v>0</x:v>
      </x:c>
      <x:c r="V308" s="49" t="str">
        <x:v>宫阙3级</x:v>
      </x:c>
      <x:c r="W308" s="49" t="n">
        <x:v>3</x:v>
      </x:c>
      <x:c r="X308" s="52" t="n">
        <x:f>ROUND(100*(0.4*LN(1+Q308)/LN(1+MAX($Q$5:$Q$395))+0.35*R308/MAX($R$5:$R$395)+0.15*S308/MAX($S$5:$S$395)+IF(P308="",0,0.1*P308/MAX($P$5:$P$395)))/IF(P308="",0.9,1),1)</x:f>
        <x:v>68.9</x:v>
      </x:c>
      <x:c r="Y308" s="49" t="n">
        <x:f>RANK.EQ(X308,$X$5:$X$395,0)</x:f>
        <x:v>222</x:v>
      </x:c>
      <x:c r="Z308" s="34" t="str">
        <x:v>保持当前盟，减少迁移成本</x:v>
      </x:c>
      <x:c r="AA308" s="55"/>
    </x:row>
    <x:row r="309" ht="20" customHeight="1">
      <x:c r="A309" s="46" t="n">
        <x:v>321</x:v>
      </x:c>
      <x:c r="B309" s="27" t="str">
        <x:v>伤心难过的后妈</x:v>
      </x:c>
      <x:c r="C309" s="49" t="str">
        <x:v>燕云</x:v>
      </x:c>
      <x:c r="D309" s="49" t="str">
        <x:v>燕云</x:v>
      </x:c>
      <x:c r="E309" s="49" t="str">
        <x:v>留盟</x:v>
      </x:c>
      <x:c r="F309" s="49" t="str">
        <x:v>兰亭</x:v>
      </x:c>
      <x:c r="G309" s="49" t="str">
        <x:v>兰亭</x:v>
      </x:c>
      <x:c r="H309" s="37" t="n">
        <x:v>27</x:v>
      </x:c>
      <x:c r="I309" s="37" t="n">
        <x:v>27</x:v>
      </x:c>
      <x:c r="J309" s="40" t="n">
        <x:v>738</x:v>
      </x:c>
      <x:c r="K309" s="40" t="n">
        <x:v>914</x:v>
      </x:c>
      <x:c r="L309" s="40" t="n">
        <x:v>574</x:v>
      </x:c>
      <x:c r="M309" s="40" t="n">
        <x:v>448</x:v>
      </x:c>
      <x:c r="N309" s="40" t="n">
        <x:v>605</x:v>
      </x:c>
      <x:c r="O309" s="40" t="n">
        <x:v>681</x:v>
      </x:c>
      <x:c r="P309" s="40" t="n">
        <x:f>IF(COUNT(J309:O309)=0,"",SUM(J309:O309))</x:f>
        <x:v>3960</x:v>
      </x:c>
      <x:c r="Q309" s="40" t="n">
        <x:v>597194084</x:v>
      </x:c>
      <x:c r="R309" s="40" t="n">
        <x:v>83562896</x:v>
      </x:c>
      <x:c r="S309" s="40" t="n">
        <x:v>200038958</x:v>
      </x:c>
      <x:c r="T309" s="40" t="n">
        <x:v>0</x:v>
      </x:c>
      <x:c r="U309" s="40" t="n">
        <x:v>46800</x:v>
      </x:c>
      <x:c r="V309" s="49" t="str">
        <x:v>宫阙3级</x:v>
      </x:c>
      <x:c r="W309" s="49" t="n">
        <x:v>3</x:v>
      </x:c>
      <x:c r="X309" s="52" t="n">
        <x:f>ROUND(100*(0.4*LN(1+Q309)/LN(1+MAX($Q$5:$Q$395))+0.35*R309/MAX($R$5:$R$395)+0.15*S309/MAX($S$5:$S$395)+IF(P309="",0,0.1*P309/MAX($P$5:$P$395)))/IF(P309="",0.9,1),1)</x:f>
        <x:v>68.2</x:v>
      </x:c>
      <x:c r="Y309" s="49" t="n">
        <x:f>RANK.EQ(X309,$X$5:$X$395,0)</x:f>
        <x:v>229</x:v>
      </x:c>
      <x:c r="Z309" s="34" t="str">
        <x:v>保持当前盟，减少迁移成本</x:v>
      </x:c>
      <x:c r="AA309" s="55"/>
    </x:row>
    <x:row r="310" ht="20" customHeight="1">
      <x:c r="A310" s="46" t="n">
        <x:v>259</x:v>
      </x:c>
      <x:c r="B310" s="27" t="str">
        <x:v>一帆风顺</x:v>
      </x:c>
      <x:c r="C310" s="49" t="str">
        <x:v>兰亭</x:v>
      </x:c>
      <x:c r="D310" s="49" t="str">
        <x:v>燕云</x:v>
      </x:c>
      <x:c r="E310" s="49" t="str">
        <x:v>兰亭→燕云</x:v>
      </x:c>
      <x:c r="F310" s="49" t="str"/>
      <x:c r="G310" s="49"/>
      <x:c r="H310" s="37"/>
      <x:c r="I310" s="37"/>
      <x:c r="J310" s="40"/>
      <x:c r="K310" s="40"/>
      <x:c r="L310" s="40"/>
      <x:c r="M310" s="40"/>
      <x:c r="N310" s="40"/>
      <x:c r="O310" s="40"/>
      <x:c r="P310" s="40" t="str">
        <x:f>IF(COUNT(J310:O310)=0,"",SUM(J310:O310))</x:f>
      </x:c>
      <x:c r="Q310" s="40" t="n">
        <x:v>2909955282</x:v>
      </x:c>
      <x:c r="R310" s="40" t="n">
        <x:v>60753486</x:v>
      </x:c>
      <x:c r="S310" s="40" t="n">
        <x:v>168393437</x:v>
      </x:c>
      <x:c r="T310" s="40" t="n">
        <x:v>0</x:v>
      </x:c>
      <x:c r="U310" s="40" t="n">
        <x:v>0</x:v>
      </x:c>
      <x:c r="V310" s="49" t="str">
        <x:v>宫阙3级</x:v>
      </x:c>
      <x:c r="W310" s="49" t="n">
        <x:v>3</x:v>
      </x:c>
      <x:c r="X310" s="52" t="n">
        <x:f>ROUND(100*(0.4*LN(1+Q310)/LN(1+MAX($Q$5:$Q$395))+0.35*R310/MAX($R$5:$R$395)+0.15*S310/MAX($S$5:$S$395)+IF(P310="",0,0.1*P310/MAX($P$5:$P$395)))/IF(P310="",0.9,1),1)</x:f>
        <x:v>64.4</x:v>
      </x:c>
      <x:c r="Y310" s="49" t="n">
        <x:f>RANK.EQ(X310,$X$5:$X$395,0)</x:f>
        <x:v>262</x:v>
      </x:c>
      <x:c r="Z310" s="34" t="str">
        <x:v>为一盟战斗重组和盟容量平衡进行对调</x:v>
      </x:c>
      <x:c r="AA310" s="55" t="str">
        <x:v>六维未匹配</x:v>
      </x:c>
    </x:row>
    <x:row r="311" ht="20" customHeight="1">
      <x:c r="A311" s="46" t="n">
        <x:v>283</x:v>
      </x:c>
      <x:c r="B311" s="27" t="str">
        <x:v>一身反骨的棉花</x:v>
      </x:c>
      <x:c r="C311" s="49" t="str">
        <x:v>兰亭</x:v>
      </x:c>
      <x:c r="D311" s="49" t="str">
        <x:v>燕云</x:v>
      </x:c>
      <x:c r="E311" s="49" t="str">
        <x:v>兰亭→燕云</x:v>
      </x:c>
      <x:c r="F311" s="49" t="str"/>
      <x:c r="G311" s="49" t="str">
        <x:v>兰亭</x:v>
      </x:c>
      <x:c r="H311" s="37" t="n">
        <x:v>25.8</x:v>
      </x:c>
      <x:c r="I311" s="37" t="n">
        <x:v>25.8</x:v>
      </x:c>
      <x:c r="J311" s="40" t="n">
        <x:v>600</x:v>
      </x:c>
      <x:c r="K311" s="40" t="n">
        <x:v>538</x:v>
      </x:c>
      <x:c r="L311" s="40" t="n">
        <x:v>596</x:v>
      </x:c>
      <x:c r="M311" s="40" t="n">
        <x:v>506</x:v>
      </x:c>
      <x:c r="N311" s="40" t="n">
        <x:v>610</x:v>
      </x:c>
      <x:c r="O311" s="40" t="n">
        <x:v>484</x:v>
      </x:c>
      <x:c r="P311" s="40" t="n">
        <x:f>IF(COUNT(J311:O311)=0,"",SUM(J311:O311))</x:f>
        <x:v>3334</x:v>
      </x:c>
      <x:c r="Q311" s="40" t="n">
        <x:v>1091922781</x:v>
      </x:c>
      <x:c r="R311" s="40" t="n">
        <x:v>69195135</x:v>
      </x:c>
      <x:c r="S311" s="40" t="n">
        <x:v>189479935</x:v>
      </x:c>
      <x:c r="T311" s="40" t="n">
        <x:v>0</x:v>
      </x:c>
      <x:c r="U311" s="40" t="n">
        <x:v>132960</x:v>
      </x:c>
      <x:c r="V311" s="49" t="str">
        <x:v>宫阙3级</x:v>
      </x:c>
      <x:c r="W311" s="49" t="n">
        <x:v>1</x:v>
      </x:c>
      <x:c r="X311" s="52" t="n">
        <x:f>ROUND(100*(0.4*LN(1+Q311)/LN(1+MAX($Q$5:$Q$395))+0.35*R311/MAX($R$5:$R$395)+0.15*S311/MAX($S$5:$S$395)+IF(P311="",0,0.1*P311/MAX($P$5:$P$395)))/IF(P311="",0.9,1),1)</x:f>
        <x:v>64.2</x:v>
      </x:c>
      <x:c r="Y311" s="49" t="n">
        <x:f>RANK.EQ(X311,$X$5:$X$395,0)</x:f>
        <x:v>266</x:v>
      </x:c>
      <x:c r="Z311" s="34" t="str">
        <x:v>为一盟战斗重组和盟容量平衡进行对调</x:v>
      </x:c>
      <x:c r="AA311" s="55"/>
    </x:row>
    <x:row r="312" ht="20" customHeight="1">
      <x:c r="A312" s="46" t="n">
        <x:v>314</x:v>
      </x:c>
      <x:c r="B312" s="27" t="str">
        <x:v>默默无语</x:v>
      </x:c>
      <x:c r="C312" s="49" t="str">
        <x:v>燕云</x:v>
      </x:c>
      <x:c r="D312" s="49" t="str">
        <x:v>燕云</x:v>
      </x:c>
      <x:c r="E312" s="49" t="str">
        <x:v>留盟</x:v>
      </x:c>
      <x:c r="F312" s="49" t="str"/>
      <x:c r="G312" s="49"/>
      <x:c r="H312" s="37"/>
      <x:c r="I312" s="37"/>
      <x:c r="J312" s="40"/>
      <x:c r="K312" s="40"/>
      <x:c r="L312" s="40"/>
      <x:c r="M312" s="40"/>
      <x:c r="N312" s="40"/>
      <x:c r="O312" s="40"/>
      <x:c r="P312" s="40" t="str">
        <x:f>IF(COUNT(J312:O312)=0,"",SUM(J312:O312))</x:f>
      </x:c>
      <x:c r="Q312" s="40" t="n">
        <x:v>1636566642</x:v>
      </x:c>
      <x:c r="R312" s="40" t="n">
        <x:v>63585410</x:v>
      </x:c>
      <x:c r="S312" s="40" t="n">
        <x:v>162819996</x:v>
      </x:c>
      <x:c r="T312" s="40" t="n">
        <x:v>0</x:v>
      </x:c>
      <x:c r="U312" s="40" t="n">
        <x:v>138960</x:v>
      </x:c>
      <x:c r="V312" s="49" t="str">
        <x:v>宫阙3级</x:v>
      </x:c>
      <x:c r="W312" s="49" t="n">
        <x:v>5</x:v>
      </x:c>
      <x:c r="X312" s="52" t="n">
        <x:f>ROUND(100*(0.4*LN(1+Q312)/LN(1+MAX($Q$5:$Q$395))+0.35*R312/MAX($R$5:$R$395)+0.15*S312/MAX($S$5:$S$395)+IF(P312="",0,0.1*P312/MAX($P$5:$P$395)))/IF(P312="",0.9,1),1)</x:f>
        <x:v>63.9</x:v>
      </x:c>
      <x:c r="Y312" s="49" t="n">
        <x:f>RANK.EQ(X312,$X$5:$X$395,0)</x:f>
        <x:v>267</x:v>
      </x:c>
      <x:c r="Z312" s="34" t="str">
        <x:v>保持当前盟，减少迁移成本</x:v>
      </x:c>
      <x:c r="AA312" s="55" t="str">
        <x:v>六维未匹配</x:v>
      </x:c>
    </x:row>
    <x:row r="313" ht="20" customHeight="1">
      <x:c r="A313" s="46" t="n">
        <x:v>286</x:v>
      </x:c>
      <x:c r="B313" s="27" t="str">
        <x:v>石鼓名山</x:v>
      </x:c>
      <x:c r="C313" s="49" t="str">
        <x:v>兰亭</x:v>
      </x:c>
      <x:c r="D313" s="49" t="str">
        <x:v>燕云</x:v>
      </x:c>
      <x:c r="E313" s="49" t="str">
        <x:v>兰亭→燕云</x:v>
      </x:c>
      <x:c r="F313" s="49" t="str"/>
      <x:c r="G313" s="49"/>
      <x:c r="H313" s="37"/>
      <x:c r="I313" s="37"/>
      <x:c r="J313" s="40"/>
      <x:c r="K313" s="40"/>
      <x:c r="L313" s="40"/>
      <x:c r="M313" s="40"/>
      <x:c r="N313" s="40"/>
      <x:c r="O313" s="40"/>
      <x:c r="P313" s="40" t="str">
        <x:f>IF(COUNT(J313:O313)=0,"",SUM(J313:O313))</x:f>
      </x:c>
      <x:c r="Q313" s="40" t="n">
        <x:v>858188066</x:v>
      </x:c>
      <x:c r="R313" s="40" t="n">
        <x:v>62625980</x:v>
      </x:c>
      <x:c r="S313" s="40" t="n">
        <x:v>196829185</x:v>
      </x:c>
      <x:c r="T313" s="40" t="n">
        <x:v>0</x:v>
      </x:c>
      <x:c r="U313" s="40" t="n">
        <x:v>95040</x:v>
      </x:c>
      <x:c r="V313" s="49" t="str">
        <x:v>宫阙3级</x:v>
      </x:c>
      <x:c r="W313" s="49" t="n">
        <x:v>1</x:v>
      </x:c>
      <x:c r="X313" s="52" t="n">
        <x:f>ROUND(100*(0.4*LN(1+Q313)/LN(1+MAX($Q$5:$Q$395))+0.35*R313/MAX($R$5:$R$395)+0.15*S313/MAX($S$5:$S$395)+IF(P313="",0,0.1*P313/MAX($P$5:$P$395)))/IF(P313="",0.9,1),1)</x:f>
        <x:v>63.5</x:v>
      </x:c>
      <x:c r="Y313" s="49" t="n">
        <x:f>RANK.EQ(X313,$X$5:$X$395,0)</x:f>
        <x:v>269</x:v>
      </x:c>
      <x:c r="Z313" s="34" t="str">
        <x:v>为一盟战斗重组和盟容量平衡进行对调</x:v>
      </x:c>
      <x:c r="AA313" s="55" t="str">
        <x:v>六维未匹配</x:v>
      </x:c>
    </x:row>
    <x:row r="314" ht="20" customHeight="1">
      <x:c r="A314" s="46" t="n">
        <x:v>276</x:v>
      </x:c>
      <x:c r="B314" s="27" t="str">
        <x:v>不败的战神</x:v>
      </x:c>
      <x:c r="C314" s="49" t="str">
        <x:v>兰亭</x:v>
      </x:c>
      <x:c r="D314" s="49" t="str">
        <x:v>燕云</x:v>
      </x:c>
      <x:c r="E314" s="49" t="str">
        <x:v>兰亭→燕云</x:v>
      </x:c>
      <x:c r="F314" s="49" t="str"/>
      <x:c r="G314" s="49" t="str">
        <x:v>兰亭</x:v>
      </x:c>
      <x:c r="H314" s="37" t="n">
        <x:v>24.07</x:v>
      </x:c>
      <x:c r="I314" s="37" t="n">
        <x:v>24.07</x:v>
      </x:c>
      <x:c r="J314" s="40" t="n">
        <x:v>591</x:v>
      </x:c>
      <x:c r="K314" s="40" t="n">
        <x:v>473</x:v>
      </x:c>
      <x:c r="L314" s="40" t="n">
        <x:v>671</x:v>
      </x:c>
      <x:c r="M314" s="40" t="n">
        <x:v>482</x:v>
      </x:c>
      <x:c r="N314" s="40" t="n">
        <x:v>645</x:v>
      </x:c>
      <x:c r="O314" s="40" t="n">
        <x:v>481</x:v>
      </x:c>
      <x:c r="P314" s="40" t="n">
        <x:f>IF(COUNT(J314:O314)=0,"",SUM(J314:O314))</x:f>
        <x:v>3343</x:v>
      </x:c>
      <x:c r="Q314" s="40" t="n">
        <x:v>1692327222</x:v>
      </x:c>
      <x:c r="R314" s="40" t="n">
        <x:v>63503590</x:v>
      </x:c>
      <x:c r="S314" s="40" t="n">
        <x:v>186643053</x:v>
      </x:c>
      <x:c r="T314" s="40" t="n">
        <x:v>0</x:v>
      </x:c>
      <x:c r="U314" s="40" t="n">
        <x:v>89760</x:v>
      </x:c>
      <x:c r="V314" s="49" t="str">
        <x:v>宫阙2级</x:v>
      </x:c>
      <x:c r="W314" s="49" t="n">
        <x:v>2</x:v>
      </x:c>
      <x:c r="X314" s="52" t="n">
        <x:f>ROUND(100*(0.4*LN(1+Q314)/LN(1+MAX($Q$5:$Q$395))+0.35*R314/MAX($R$5:$R$395)+0.15*S314/MAX($S$5:$S$395)+IF(P314="",0,0.1*P314/MAX($P$5:$P$395)))/IF(P314="",0.9,1),1)</x:f>
        <x:v>63.5</x:v>
      </x:c>
      <x:c r="Y314" s="49" t="n">
        <x:f>RANK.EQ(X314,$X$5:$X$395,0)</x:f>
        <x:v>269</x:v>
      </x:c>
      <x:c r="Z314" s="34" t="str">
        <x:v>为一盟战斗重组和盟容量平衡进行对调</x:v>
      </x:c>
      <x:c r="AA314" s="55"/>
    </x:row>
    <x:row r="315" ht="20" customHeight="1">
      <x:c r="A315" s="46" t="n">
        <x:v>317</x:v>
      </x:c>
      <x:c r="B315" s="27" t="str">
        <x:v>柊芸墨</x:v>
      </x:c>
      <x:c r="C315" s="49" t="str">
        <x:v>燕云</x:v>
      </x:c>
      <x:c r="D315" s="49" t="str">
        <x:v>燕云</x:v>
      </x:c>
      <x:c r="E315" s="49" t="str">
        <x:v>留盟</x:v>
      </x:c>
      <x:c r="F315" s="49" t="str"/>
      <x:c r="G315" s="49"/>
      <x:c r="H315" s="37"/>
      <x:c r="I315" s="37"/>
      <x:c r="J315" s="40"/>
      <x:c r="K315" s="40"/>
      <x:c r="L315" s="40"/>
      <x:c r="M315" s="40"/>
      <x:c r="N315" s="40"/>
      <x:c r="O315" s="40"/>
      <x:c r="P315" s="40" t="str">
        <x:f>IF(COUNT(J315:O315)=0,"",SUM(J315:O315))</x:f>
      </x:c>
      <x:c r="Q315" s="40" t="n">
        <x:v>1065146616</x:v>
      </x:c>
      <x:c r="R315" s="40" t="n">
        <x:v>63715701</x:v>
      </x:c>
      <x:c r="S315" s="40" t="n">
        <x:v>162067729</x:v>
      </x:c>
      <x:c r="T315" s="40" t="n">
        <x:v>0</x:v>
      </x:c>
      <x:c r="U315" s="40" t="n">
        <x:v>93600</x:v>
      </x:c>
      <x:c r="V315" s="49" t="str">
        <x:v>宫阙2级</x:v>
      </x:c>
      <x:c r="W315" s="49" t="n">
        <x:v>4</x:v>
      </x:c>
      <x:c r="X315" s="52" t="n">
        <x:f>ROUND(100*(0.4*LN(1+Q315)/LN(1+MAX($Q$5:$Q$395))+0.35*R315/MAX($R$5:$R$395)+0.15*S315/MAX($S$5:$S$395)+IF(P315="",0,0.1*P315/MAX($P$5:$P$395)))/IF(P315="",0.9,1),1)</x:f>
        <x:v>63.1</x:v>
      </x:c>
      <x:c r="Y315" s="49" t="n">
        <x:f>RANK.EQ(X315,$X$5:$X$395,0)</x:f>
        <x:v>272</x:v>
      </x:c>
      <x:c r="Z315" s="34" t="str">
        <x:v>保持当前盟，减少迁移成本</x:v>
      </x:c>
      <x:c r="AA315" s="55" t="str">
        <x:v>六维未匹配</x:v>
      </x:c>
    </x:row>
    <x:row r="316" ht="20" customHeight="1">
      <x:c r="A316" s="46" t="n">
        <x:v>288</x:v>
      </x:c>
      <x:c r="B316" s="27" t="str">
        <x:v>一粒沙尘</x:v>
      </x:c>
      <x:c r="C316" s="49" t="str">
        <x:v>兰亭</x:v>
      </x:c>
      <x:c r="D316" s="49" t="str">
        <x:v>燕云</x:v>
      </x:c>
      <x:c r="E316" s="49" t="str">
        <x:v>兰亭→燕云</x:v>
      </x:c>
      <x:c r="F316" s="49" t="str"/>
      <x:c r="G316" s="49"/>
      <x:c r="H316" s="37"/>
      <x:c r="I316" s="37"/>
      <x:c r="J316" s="40"/>
      <x:c r="K316" s="40"/>
      <x:c r="L316" s="40"/>
      <x:c r="M316" s="40"/>
      <x:c r="N316" s="40"/>
      <x:c r="O316" s="40"/>
      <x:c r="P316" s="40" t="str">
        <x:f>IF(COUNT(J316:O316)=0,"",SUM(J316:O316))</x:f>
      </x:c>
      <x:c r="Q316" s="40" t="n">
        <x:v>620725406</x:v>
      </x:c>
      <x:c r="R316" s="40" t="n">
        <x:v>65997748</x:v>
      </x:c>
      <x:c r="S316" s="40" t="n">
        <x:v>164043284</x:v>
      </x:c>
      <x:c r="T316" s="40" t="n">
        <x:v>0</x:v>
      </x:c>
      <x:c r="U316" s="40" t="n">
        <x:v>117600</x:v>
      </x:c>
      <x:c r="V316" s="49" t="str">
        <x:v>宫阙2级</x:v>
      </x:c>
      <x:c r="W316" s="49" t="n">
        <x:v>1</x:v>
      </x:c>
      <x:c r="X316" s="52" t="n">
        <x:f>ROUND(100*(0.4*LN(1+Q316)/LN(1+MAX($Q$5:$Q$395))+0.35*R316/MAX($R$5:$R$395)+0.15*S316/MAX($S$5:$S$395)+IF(P316="",0,0.1*P316/MAX($P$5:$P$395)))/IF(P316="",0.9,1),1)</x:f>
        <x:v>62.8</x:v>
      </x:c>
      <x:c r="Y316" s="49" t="n">
        <x:f>RANK.EQ(X316,$X$5:$X$395,0)</x:f>
        <x:v>274</x:v>
      </x:c>
      <x:c r="Z316" s="34" t="str">
        <x:v>为一盟战斗重组和盟容量平衡进行对调</x:v>
      </x:c>
      <x:c r="AA316" s="55" t="str">
        <x:v>六维未匹配</x:v>
      </x:c>
    </x:row>
    <x:row r="317" ht="20" customHeight="1">
      <x:c r="A317" s="46" t="n">
        <x:v>294</x:v>
      </x:c>
      <x:c r="B317" s="27" t="str">
        <x:v>多多苗</x:v>
      </x:c>
      <x:c r="C317" s="49" t="str">
        <x:v>兰亭</x:v>
      </x:c>
      <x:c r="D317" s="49" t="str">
        <x:v>燕云</x:v>
      </x:c>
      <x:c r="E317" s="49" t="str">
        <x:v>兰亭→燕云</x:v>
      </x:c>
      <x:c r="F317" s="49" t="str"/>
      <x:c r="G317" s="49"/>
      <x:c r="H317" s="37"/>
      <x:c r="I317" s="37"/>
      <x:c r="J317" s="40"/>
      <x:c r="K317" s="40"/>
      <x:c r="L317" s="40"/>
      <x:c r="M317" s="40"/>
      <x:c r="N317" s="40"/>
      <x:c r="O317" s="40"/>
      <x:c r="P317" s="40" t="str">
        <x:f>IF(COUNT(J317:O317)=0,"",SUM(J317:O317))</x:f>
      </x:c>
      <x:c r="Q317" s="40" t="n">
        <x:v>123279952</x:v>
      </x:c>
      <x:c r="R317" s="40" t="n">
        <x:v>68101890</x:v>
      </x:c>
      <x:c r="S317" s="40" t="n">
        <x:v>236025118</x:v>
      </x:c>
      <x:c r="T317" s="40" t="n">
        <x:v>0</x:v>
      </x:c>
      <x:c r="U317" s="40" t="n">
        <x:v>150240</x:v>
      </x:c>
      <x:c r="V317" s="49" t="str">
        <x:v>宫阙3级</x:v>
      </x:c>
      <x:c r="W317" s="49" t="n">
        <x:v>3</x:v>
      </x:c>
      <x:c r="X317" s="52" t="n">
        <x:f>ROUND(100*(0.4*LN(1+Q317)/LN(1+MAX($Q$5:$Q$395))+0.35*R317/MAX($R$5:$R$395)+0.15*S317/MAX($S$5:$S$395)+IF(P317="",0,0.1*P317/MAX($P$5:$P$395)))/IF(P317="",0.9,1),1)</x:f>
        <x:v>62.6</x:v>
      </x:c>
      <x:c r="Y317" s="49" t="n">
        <x:f>RANK.EQ(X317,$X$5:$X$395,0)</x:f>
        <x:v>275</x:v>
      </x:c>
      <x:c r="Z317" s="34" t="str">
        <x:v>为一盟战斗重组和盟容量平衡进行对调</x:v>
      </x:c>
      <x:c r="AA317" s="55" t="str">
        <x:v>六维未匹配</x:v>
      </x:c>
    </x:row>
    <x:row r="318" ht="20" customHeight="1">
      <x:c r="A318" s="46" t="n">
        <x:v>287</x:v>
      </x:c>
      <x:c r="B318" s="27" t="str">
        <x:v>专注种地</x:v>
      </x:c>
      <x:c r="C318" s="49" t="str">
        <x:v>兰亭</x:v>
      </x:c>
      <x:c r="D318" s="49" t="str">
        <x:v>燕云</x:v>
      </x:c>
      <x:c r="E318" s="49" t="str">
        <x:v>兰亭→燕云</x:v>
      </x:c>
      <x:c r="F318" s="49" t="str">
        <x:v>花晨</x:v>
      </x:c>
      <x:c r="G318" s="49" t="str">
        <x:v>兰亭</x:v>
      </x:c>
      <x:c r="H318" s="37" t="n">
        <x:v>26.5</x:v>
      </x:c>
      <x:c r="I318" s="37" t="n">
        <x:v>22.1</x:v>
      </x:c>
      <x:c r="J318" s="40" t="n">
        <x:v>560</x:v>
      </x:c>
      <x:c r="K318" s="40" t="n">
        <x:v>478</x:v>
      </x:c>
      <x:c r="L318" s="40" t="n">
        <x:v>570</x:v>
      </x:c>
      <x:c r="M318" s="40" t="n">
        <x:v>452</x:v>
      </x:c>
      <x:c r="N318" s="40" t="n">
        <x:v>589</x:v>
      </x:c>
      <x:c r="O318" s="40" t="n">
        <x:v>426</x:v>
      </x:c>
      <x:c r="P318" s="40" t="n">
        <x:f>IF(COUNT(J318:O318)=0,"",SUM(J318:O318))</x:f>
        <x:v>3075</x:v>
      </x:c>
      <x:c r="Q318" s="40" t="n">
        <x:v>851773262</x:v>
      </x:c>
      <x:c r="R318" s="40" t="n">
        <x:v>64256495</x:v>
      </x:c>
      <x:c r="S318" s="40" t="n">
        <x:v>192477131</x:v>
      </x:c>
      <x:c r="T318" s="40" t="n">
        <x:v>0</x:v>
      </x:c>
      <x:c r="U318" s="40" t="n">
        <x:v>86880</x:v>
      </x:c>
      <x:c r="V318" s="49" t="str">
        <x:v>宫阙3级</x:v>
      </x:c>
      <x:c r="W318" s="49" t="n">
        <x:v>2</x:v>
      </x:c>
      <x:c r="X318" s="52" t="n">
        <x:f>ROUND(100*(0.4*LN(1+Q318)/LN(1+MAX($Q$5:$Q$395))+0.35*R318/MAX($R$5:$R$395)+0.15*S318/MAX($S$5:$S$395)+IF(P318="",0,0.1*P318/MAX($P$5:$P$395)))/IF(P318="",0.9,1),1)</x:f>
        <x:v>62.2</x:v>
      </x:c>
      <x:c r="Y318" s="49" t="n">
        <x:f>RANK.EQ(X318,$X$5:$X$395,0)</x:f>
        <x:v>278</x:v>
      </x:c>
      <x:c r="Z318" s="34" t="str">
        <x:v>为一盟战斗重组和盟容量平衡进行对调</x:v>
      </x:c>
      <x:c r="AA318" s="55"/>
    </x:row>
    <x:row r="319" ht="20" customHeight="1">
      <x:c r="A319" s="46" t="n">
        <x:v>297</x:v>
      </x:c>
      <x:c r="B319" s="27" t="str">
        <x:v>蓝天白云</x:v>
      </x:c>
      <x:c r="C319" s="49" t="str">
        <x:v>兰亭</x:v>
      </x:c>
      <x:c r="D319" s="49" t="str">
        <x:v>燕云</x:v>
      </x:c>
      <x:c r="E319" s="49" t="str">
        <x:v>兰亭→燕云</x:v>
      </x:c>
      <x:c r="F319" s="49" t="str">
        <x:v>花晨</x:v>
      </x:c>
      <x:c r="G319" s="49"/>
      <x:c r="H319" s="37"/>
      <x:c r="I319" s="37"/>
      <x:c r="J319" s="40"/>
      <x:c r="K319" s="40"/>
      <x:c r="L319" s="40"/>
      <x:c r="M319" s="40"/>
      <x:c r="N319" s="40"/>
      <x:c r="O319" s="40"/>
      <x:c r="P319" s="40" t="str">
        <x:f>IF(COUNT(J319:O319)=0,"",SUM(J319:O319))</x:f>
      </x:c>
      <x:c r="Q319" s="40" t="n">
        <x:v>71240368</x:v>
      </x:c>
      <x:c r="R319" s="40" t="n">
        <x:v>70988297</x:v>
      </x:c>
      <x:c r="S319" s="40" t="n">
        <x:v>212230845</x:v>
      </x:c>
      <x:c r="T319" s="40" t="n">
        <x:v>0</x:v>
      </x:c>
      <x:c r="U319" s="40" t="n">
        <x:v>86160</x:v>
      </x:c>
      <x:c r="V319" s="49" t="str">
        <x:v>宫阙3级</x:v>
      </x:c>
      <x:c r="W319" s="49" t="n">
        <x:v>2</x:v>
      </x:c>
      <x:c r="X319" s="52" t="n">
        <x:f>ROUND(100*(0.4*LN(1+Q319)/LN(1+MAX($Q$5:$Q$395))+0.35*R319/MAX($R$5:$R$395)+0.15*S319/MAX($S$5:$S$395)+IF(P319="",0,0.1*P319/MAX($P$5:$P$395)))/IF(P319="",0.9,1),1)</x:f>
        <x:v>61.7</x:v>
      </x:c>
      <x:c r="Y319" s="49" t="n">
        <x:f>RANK.EQ(X319,$X$5:$X$395,0)</x:f>
        <x:v>282</x:v>
      </x:c>
      <x:c r="Z319" s="34" t="str">
        <x:v>为一盟战斗重组和盟容量平衡进行对调</x:v>
      </x:c>
      <x:c r="AA319" s="55" t="str">
        <x:v>六维未匹配</x:v>
      </x:c>
    </x:row>
    <x:row r="320" ht="20" customHeight="1">
      <x:c r="A320" s="46" t="n">
        <x:v>292</x:v>
      </x:c>
      <x:c r="B320" s="27" t="str">
        <x:v>乔伊斯</x:v>
      </x:c>
      <x:c r="C320" s="49" t="str">
        <x:v>兰亭</x:v>
      </x:c>
      <x:c r="D320" s="49" t="str">
        <x:v>燕云</x:v>
      </x:c>
      <x:c r="E320" s="49" t="str">
        <x:v>兰亭→燕云</x:v>
      </x:c>
      <x:c r="F320" s="49" t="str">
        <x:v>花晨</x:v>
      </x:c>
      <x:c r="G320" s="49"/>
      <x:c r="H320" s="37"/>
      <x:c r="I320" s="37"/>
      <x:c r="J320" s="40"/>
      <x:c r="K320" s="40"/>
      <x:c r="L320" s="40"/>
      <x:c r="M320" s="40"/>
      <x:c r="N320" s="40"/>
      <x:c r="O320" s="40"/>
      <x:c r="P320" s="40" t="str">
        <x:f>IF(COUNT(J320:O320)=0,"",SUM(J320:O320))</x:f>
      </x:c>
      <x:c r="Q320" s="40" t="n">
        <x:v>264338188</x:v>
      </x:c>
      <x:c r="R320" s="40" t="n">
        <x:v>63325012</x:v>
      </x:c>
      <x:c r="S320" s="40" t="n">
        <x:v>194354584</x:v>
      </x:c>
      <x:c r="T320" s="40" t="n">
        <x:v>0</x:v>
      </x:c>
      <x:c r="U320" s="40" t="n">
        <x:v>69360</x:v>
      </x:c>
      <x:c r="V320" s="49" t="str">
        <x:v>宫阙3级</x:v>
      </x:c>
      <x:c r="W320" s="49" t="n">
        <x:v>2</x:v>
      </x:c>
      <x:c r="X320" s="52" t="n">
        <x:f>ROUND(100*(0.4*LN(1+Q320)/LN(1+MAX($Q$5:$Q$395))+0.35*R320/MAX($R$5:$R$395)+0.15*S320/MAX($S$5:$S$395)+IF(P320="",0,0.1*P320/MAX($P$5:$P$395)))/IF(P320="",0.9,1),1)</x:f>
        <x:v>61.4</x:v>
      </x:c>
      <x:c r="Y320" s="49" t="n">
        <x:f>RANK.EQ(X320,$X$5:$X$395,0)</x:f>
        <x:v>283</x:v>
      </x:c>
      <x:c r="Z320" s="34" t="str">
        <x:v>为一盟战斗重组和盟容量平衡进行对调</x:v>
      </x:c>
      <x:c r="AA320" s="55" t="str">
        <x:v>六维未匹配</x:v>
      </x:c>
    </x:row>
    <x:row r="321" ht="20" customHeight="1">
      <x:c r="A321" s="46" t="n">
        <x:v>289</x:v>
      </x:c>
      <x:c r="B321" s="27" t="str">
        <x:v>李莫愁</x:v>
      </x:c>
      <x:c r="C321" s="49" t="str">
        <x:v>兰亭</x:v>
      </x:c>
      <x:c r="D321" s="49" t="str">
        <x:v>燕云</x:v>
      </x:c>
      <x:c r="E321" s="49" t="str">
        <x:v>兰亭→燕云</x:v>
      </x:c>
      <x:c r="F321" s="49" t="str"/>
      <x:c r="G321" s="49"/>
      <x:c r="H321" s="37" t="n">
        <x:v>21</x:v>
      </x:c>
      <x:c r="I321" s="37" t="n">
        <x:v>21</x:v>
      </x:c>
      <x:c r="J321" s="40" t="n">
        <x:v>568</x:v>
      </x:c>
      <x:c r="K321" s="40" t="n">
        <x:v>605</x:v>
      </x:c>
      <x:c r="L321" s="40" t="n">
        <x:v>520</x:v>
      </x:c>
      <x:c r="M321" s="40" t="n">
        <x:v>390</x:v>
      </x:c>
      <x:c r="N321" s="40" t="n">
        <x:v>555</x:v>
      </x:c>
      <x:c r="O321" s="40" t="n">
        <x:v>472</x:v>
      </x:c>
      <x:c r="P321" s="40" t="n">
        <x:f>IF(COUNT(J321:O321)=0,"",SUM(J321:O321))</x:f>
        <x:v>3110</x:v>
      </x:c>
      <x:c r="Q321" s="40" t="n">
        <x:v>582366214</x:v>
      </x:c>
      <x:c r="R321" s="40" t="n">
        <x:v>61205537</x:v>
      </x:c>
      <x:c r="S321" s="40" t="n">
        <x:v>201538097</x:v>
      </x:c>
      <x:c r="T321" s="40" t="n">
        <x:v>0</x:v>
      </x:c>
      <x:c r="U321" s="40" t="n">
        <x:v>119760</x:v>
      </x:c>
      <x:c r="V321" s="49" t="str">
        <x:v>宫阙2级</x:v>
      </x:c>
      <x:c r="W321" s="49" t="n">
        <x:v>1</x:v>
      </x:c>
      <x:c r="X321" s="52" t="n">
        <x:f>ROUND(100*(0.4*LN(1+Q321)/LN(1+MAX($Q$5:$Q$395))+0.35*R321/MAX($R$5:$R$395)+0.15*S321/MAX($S$5:$S$395)+IF(P321="",0,0.1*P321/MAX($P$5:$P$395)))/IF(P321="",0.9,1),1)</x:f>
        <x:v>61.1</x:v>
      </x:c>
      <x:c r="Y321" s="49" t="n">
        <x:f>RANK.EQ(X321,$X$5:$X$395,0)</x:f>
        <x:v>284</x:v>
      </x:c>
      <x:c r="Z321" s="34" t="str">
        <x:v>为一盟战斗重组和盟容量平衡进行对调</x:v>
      </x:c>
      <x:c r="AA321" s="55"/>
    </x:row>
    <x:row r="322" ht="20" customHeight="1">
      <x:c r="A322" s="46" t="n">
        <x:v>296</x:v>
      </x:c>
      <x:c r="B322" s="27" t="str">
        <x:v>叫老公</x:v>
      </x:c>
      <x:c r="C322" s="49" t="str">
        <x:v>兰亭</x:v>
      </x:c>
      <x:c r="D322" s="49" t="str">
        <x:v>燕云</x:v>
      </x:c>
      <x:c r="E322" s="49" t="str">
        <x:v>兰亭→燕云</x:v>
      </x:c>
      <x:c r="F322" s="49" t="str"/>
      <x:c r="G322" s="49"/>
      <x:c r="H322" s="37"/>
      <x:c r="I322" s="37"/>
      <x:c r="J322" s="40"/>
      <x:c r="K322" s="40"/>
      <x:c r="L322" s="40"/>
      <x:c r="M322" s="40"/>
      <x:c r="N322" s="40"/>
      <x:c r="O322" s="40"/>
      <x:c r="P322" s="40" t="str">
        <x:f>IF(COUNT(J322:O322)=0,"",SUM(J322:O322))</x:f>
      </x:c>
      <x:c r="Q322" s="40" t="n">
        <x:v>91610220</x:v>
      </x:c>
      <x:c r="R322" s="40" t="n">
        <x:v>69082615</x:v>
      </x:c>
      <x:c r="S322" s="40" t="n">
        <x:v>196667568</x:v>
      </x:c>
      <x:c r="T322" s="40" t="n">
        <x:v>0</x:v>
      </x:c>
      <x:c r="U322" s="40" t="n">
        <x:v>90720</x:v>
      </x:c>
      <x:c r="V322" s="49" t="str">
        <x:v>宫阙3级</x:v>
      </x:c>
      <x:c r="W322" s="49" t="n">
        <x:v>2</x:v>
      </x:c>
      <x:c r="X322" s="52" t="n">
        <x:f>ROUND(100*(0.4*LN(1+Q322)/LN(1+MAX($Q$5:$Q$395))+0.35*R322/MAX($R$5:$R$395)+0.15*S322/MAX($S$5:$S$395)+IF(P322="",0,0.1*P322/MAX($P$5:$P$395)))/IF(P322="",0.9,1),1)</x:f>
        <x:v>61.1</x:v>
      </x:c>
      <x:c r="Y322" s="49" t="n">
        <x:f>RANK.EQ(X322,$X$5:$X$395,0)</x:f>
        <x:v>284</x:v>
      </x:c>
      <x:c r="Z322" s="34" t="str">
        <x:v>为一盟战斗重组和盟容量平衡进行对调</x:v>
      </x:c>
      <x:c r="AA322" s="55" t="str">
        <x:v>六维未匹配</x:v>
      </x:c>
    </x:row>
    <x:row r="323" ht="20" customHeight="1">
      <x:c r="A323" s="46" t="n">
        <x:v>318</x:v>
      </x:c>
      <x:c r="B323" s="27" t="str">
        <x:v>独孤九剑</x:v>
      </x:c>
      <x:c r="C323" s="49" t="str">
        <x:v>燕云</x:v>
      </x:c>
      <x:c r="D323" s="49" t="str">
        <x:v>燕云</x:v>
      </x:c>
      <x:c r="E323" s="49" t="str">
        <x:v>留盟</x:v>
      </x:c>
      <x:c r="F323" s="49" t="str"/>
      <x:c r="G323" s="49"/>
      <x:c r="H323" s="37"/>
      <x:c r="I323" s="37"/>
      <x:c r="J323" s="40"/>
      <x:c r="K323" s="40"/>
      <x:c r="L323" s="40"/>
      <x:c r="M323" s="40"/>
      <x:c r="N323" s="40"/>
      <x:c r="O323" s="40"/>
      <x:c r="P323" s="40" t="str">
        <x:f>IF(COUNT(J323:O323)=0,"",SUM(J323:O323))</x:f>
      </x:c>
      <x:c r="Q323" s="40" t="n">
        <x:v>1027468872</x:v>
      </x:c>
      <x:c r="R323" s="40" t="n">
        <x:v>54982367</x:v>
      </x:c>
      <x:c r="S323" s="40" t="n">
        <x:v>141933587</x:v>
      </x:c>
      <x:c r="T323" s="40" t="n">
        <x:v>0</x:v>
      </x:c>
      <x:c r="U323" s="40" t="n">
        <x:v>72240</x:v>
      </x:c>
      <x:c r="V323" s="49" t="str">
        <x:v>宫阙2级</x:v>
      </x:c>
      <x:c r="W323" s="49" t="n">
        <x:v>4</x:v>
      </x:c>
      <x:c r="X323" s="52" t="n">
        <x:f>ROUND(100*(0.4*LN(1+Q323)/LN(1+MAX($Q$5:$Q$395))+0.35*R323/MAX($R$5:$R$395)+0.15*S323/MAX($S$5:$S$395)+IF(P323="",0,0.1*P323/MAX($P$5:$P$395)))/IF(P323="",0.9,1),1)</x:f>
        <x:v>59.9</x:v>
      </x:c>
      <x:c r="Y323" s="49" t="n">
        <x:f>RANK.EQ(X323,$X$5:$X$395,0)</x:f>
        <x:v>288</x:v>
      </x:c>
      <x:c r="Z323" s="34" t="str">
        <x:v>保持当前盟，减少迁移成本</x:v>
      </x:c>
      <x:c r="AA323" s="55" t="str">
        <x:v>六维未匹配</x:v>
      </x:c>
    </x:row>
    <x:row r="324" ht="20" customHeight="1">
      <x:c r="A324" s="46" t="n">
        <x:v>326</x:v>
      </x:c>
      <x:c r="B324" s="27" t="str">
        <x:v>独孤求败</x:v>
      </x:c>
      <x:c r="C324" s="49" t="str">
        <x:v>燕云</x:v>
      </x:c>
      <x:c r="D324" s="49" t="str">
        <x:v>燕云</x:v>
      </x:c>
      <x:c r="E324" s="49" t="str">
        <x:v>留盟</x:v>
      </x:c>
      <x:c r="F324" s="49" t="str"/>
      <x:c r="G324" s="49"/>
      <x:c r="H324" s="37"/>
      <x:c r="I324" s="37"/>
      <x:c r="J324" s="40"/>
      <x:c r="K324" s="40"/>
      <x:c r="L324" s="40"/>
      <x:c r="M324" s="40"/>
      <x:c r="N324" s="40"/>
      <x:c r="O324" s="40"/>
      <x:c r="P324" s="40" t="str">
        <x:f>IF(COUNT(J324:O324)=0,"",SUM(J324:O324))</x:f>
      </x:c>
      <x:c r="Q324" s="40" t="n">
        <x:v>30738216</x:v>
      </x:c>
      <x:c r="R324" s="40" t="n">
        <x:v>65069880</x:v>
      </x:c>
      <x:c r="S324" s="40" t="n">
        <x:v>208169228</x:v>
      </x:c>
      <x:c r="T324" s="40" t="n">
        <x:v>0</x:v>
      </x:c>
      <x:c r="U324" s="40" t="n">
        <x:v>104320</x:v>
      </x:c>
      <x:c r="V324" s="49" t="str">
        <x:v>宫阙3级</x:v>
      </x:c>
      <x:c r="W324" s="49" t="n">
        <x:v>4</x:v>
      </x:c>
      <x:c r="X324" s="52" t="n">
        <x:f>ROUND(100*(0.4*LN(1+Q324)/LN(1+MAX($Q$5:$Q$395))+0.35*R324/MAX($R$5:$R$395)+0.15*S324/MAX($S$5:$S$395)+IF(P324="",0,0.1*P324/MAX($P$5:$P$395)))/IF(P324="",0.9,1),1)</x:f>
        <x:v>58.2</x:v>
      </x:c>
      <x:c r="Y324" s="49" t="n">
        <x:f>RANK.EQ(X324,$X$5:$X$395,0)</x:f>
        <x:v>294</x:v>
      </x:c>
      <x:c r="Z324" s="34" t="str">
        <x:v>保持当前盟，减少迁移成本</x:v>
      </x:c>
      <x:c r="AA324" s="55" t="str">
        <x:v>六维未匹配</x:v>
      </x:c>
    </x:row>
    <x:row r="325" ht="20" customHeight="1">
      <x:c r="A325" s="46" t="n">
        <x:v>319</x:v>
      </x:c>
      <x:c r="B325" s="27" t="str">
        <x:v>蚂蚁森林</x:v>
      </x:c>
      <x:c r="C325" s="49" t="str">
        <x:v>燕云</x:v>
      </x:c>
      <x:c r="D325" s="49" t="str">
        <x:v>燕云</x:v>
      </x:c>
      <x:c r="E325" s="49" t="str">
        <x:v>留盟</x:v>
      </x:c>
      <x:c r="F325" s="49" t="str"/>
      <x:c r="G325" s="49"/>
      <x:c r="H325" s="37"/>
      <x:c r="I325" s="37"/>
      <x:c r="J325" s="40"/>
      <x:c r="K325" s="40"/>
      <x:c r="L325" s="40"/>
      <x:c r="M325" s="40"/>
      <x:c r="N325" s="40"/>
      <x:c r="O325" s="40"/>
      <x:c r="P325" s="40" t="str">
        <x:f>IF(COUNT(J325:O325)=0,"",SUM(J325:O325))</x:f>
      </x:c>
      <x:c r="Q325" s="40" t="n">
        <x:v>1001356182</x:v>
      </x:c>
      <x:c r="R325" s="40" t="n">
        <x:v>50227987</x:v>
      </x:c>
      <x:c r="S325" s="40" t="n">
        <x:v>115071015</x:v>
      </x:c>
      <x:c r="T325" s="40" t="n">
        <x:v>0</x:v>
      </x:c>
      <x:c r="U325" s="40" t="n">
        <x:v>100800</x:v>
      </x:c>
      <x:c r="V325" s="49" t="str">
        <x:v>宫阙1级</x:v>
      </x:c>
      <x:c r="W325" s="49" t="n">
        <x:v>4</x:v>
      </x:c>
      <x:c r="X325" s="52" t="n">
        <x:f>ROUND(100*(0.4*LN(1+Q325)/LN(1+MAX($Q$5:$Q$395))+0.35*R325/MAX($R$5:$R$395)+0.15*S325/MAX($S$5:$S$395)+IF(P325="",0,0.1*P325/MAX($P$5:$P$395)))/IF(P325="",0.9,1),1)</x:f>
        <x:v>57.6</x:v>
      </x:c>
      <x:c r="Y325" s="49" t="n">
        <x:f>RANK.EQ(X325,$X$5:$X$395,0)</x:f>
        <x:v>296</x:v>
      </x:c>
      <x:c r="Z325" s="34" t="str">
        <x:v>保持当前盟，减少迁移成本</x:v>
      </x:c>
      <x:c r="AA325" s="55" t="str">
        <x:v>六维未匹配</x:v>
      </x:c>
    </x:row>
    <x:row r="326" ht="20" customHeight="1">
      <x:c r="A326" s="46" t="n">
        <x:v>320</x:v>
      </x:c>
      <x:c r="B326" s="27" t="str">
        <x:v>执迷不悔</x:v>
      </x:c>
      <x:c r="C326" s="49" t="str">
        <x:v>燕云</x:v>
      </x:c>
      <x:c r="D326" s="49" t="str">
        <x:v>燕云</x:v>
      </x:c>
      <x:c r="E326" s="49" t="str">
        <x:v>留盟</x:v>
      </x:c>
      <x:c r="F326" s="49" t="str"/>
      <x:c r="G326" s="49"/>
      <x:c r="H326" s="37"/>
      <x:c r="I326" s="37"/>
      <x:c r="J326" s="40"/>
      <x:c r="K326" s="40"/>
      <x:c r="L326" s="40"/>
      <x:c r="M326" s="40"/>
      <x:c r="N326" s="40"/>
      <x:c r="O326" s="40"/>
      <x:c r="P326" s="40" t="str">
        <x:f>IF(COUNT(J326:O326)=0,"",SUM(J326:O326))</x:f>
      </x:c>
      <x:c r="Q326" s="40" t="n">
        <x:v>599573160</x:v>
      </x:c>
      <x:c r="R326" s="40" t="n">
        <x:v>50655029</x:v>
      </x:c>
      <x:c r="S326" s="40" t="n">
        <x:v>112915067</x:v>
      </x:c>
      <x:c r="T326" s="40" t="n">
        <x:v>0</x:v>
      </x:c>
      <x:c r="U326" s="40" t="n">
        <x:v>33440</x:v>
      </x:c>
      <x:c r="V326" s="49" t="str">
        <x:v>宫阙1级</x:v>
      </x:c>
      <x:c r="W326" s="49" t="n">
        <x:v>4</x:v>
      </x:c>
      <x:c r="X326" s="52" t="n">
        <x:f>ROUND(100*(0.4*LN(1+Q326)/LN(1+MAX($Q$5:$Q$395))+0.35*R326/MAX($R$5:$R$395)+0.15*S326/MAX($S$5:$S$395)+IF(P326="",0,0.1*P326/MAX($P$5:$P$395)))/IF(P326="",0.9,1),1)</x:f>
        <x:v>56.6</x:v>
      </x:c>
      <x:c r="Y326" s="49" t="n">
        <x:f>RANK.EQ(X326,$X$5:$X$395,0)</x:f>
        <x:v>297</x:v>
      </x:c>
      <x:c r="Z326" s="34" t="str">
        <x:v>保持当前盟，减少迁移成本</x:v>
      </x:c>
      <x:c r="AA326" s="55" t="str">
        <x:v>六维未匹配</x:v>
      </x:c>
    </x:row>
    <x:row r="327" ht="20" customHeight="1">
      <x:c r="A327" s="46" t="n">
        <x:v>323</x:v>
      </x:c>
      <x:c r="B327" s="27" t="str">
        <x:v>小香香</x:v>
      </x:c>
      <x:c r="C327" s="49" t="str">
        <x:v>燕云</x:v>
      </x:c>
      <x:c r="D327" s="49" t="str">
        <x:v>燕云</x:v>
      </x:c>
      <x:c r="E327" s="49" t="str">
        <x:v>留盟</x:v>
      </x:c>
      <x:c r="F327" s="49" t="str"/>
      <x:c r="G327" s="49"/>
      <x:c r="H327" s="37"/>
      <x:c r="I327" s="37"/>
      <x:c r="J327" s="40"/>
      <x:c r="K327" s="40"/>
      <x:c r="L327" s="40"/>
      <x:c r="M327" s="40"/>
      <x:c r="N327" s="40"/>
      <x:c r="O327" s="40"/>
      <x:c r="P327" s="40" t="str">
        <x:f>IF(COUNT(J327:O327)=0,"",SUM(J327:O327))</x:f>
      </x:c>
      <x:c r="Q327" s="40" t="n">
        <x:v>192547420</x:v>
      </x:c>
      <x:c r="R327" s="40" t="n">
        <x:v>50368914</x:v>
      </x:c>
      <x:c r="S327" s="40" t="n">
        <x:v>104421719</x:v>
      </x:c>
      <x:c r="T327" s="40" t="n">
        <x:v>0</x:v>
      </x:c>
      <x:c r="U327" s="40" t="n">
        <x:v>48240</x:v>
      </x:c>
      <x:c r="V327" s="49" t="str">
        <x:v>宫阙1级</x:v>
      </x:c>
      <x:c r="W327" s="49" t="n">
        <x:v>4</x:v>
      </x:c>
      <x:c r="X327" s="52" t="n">
        <x:f>ROUND(100*(0.4*LN(1+Q327)/LN(1+MAX($Q$5:$Q$395))+0.35*R327/MAX($R$5:$R$395)+0.15*S327/MAX($S$5:$S$395)+IF(P327="",0,0.1*P327/MAX($P$5:$P$395)))/IF(P327="",0.9,1),1)</x:f>
        <x:v>54.1</x:v>
      </x:c>
      <x:c r="Y327" s="49" t="n">
        <x:f>RANK.EQ(X327,$X$5:$X$395,0)</x:f>
        <x:v>299</x:v>
      </x:c>
      <x:c r="Z327" s="34" t="str">
        <x:v>保持当前盟，减少迁移成本</x:v>
      </x:c>
      <x:c r="AA327" s="55" t="str">
        <x:v>六维未匹配</x:v>
      </x:c>
    </x:row>
    <x:row r="328" ht="20" customHeight="1">
      <x:c r="A328" s="46" t="n">
        <x:v>298</x:v>
      </x:c>
      <x:c r="B328" s="27" t="str">
        <x:v>没想过</x:v>
      </x:c>
      <x:c r="C328" s="49" t="str">
        <x:v>兰亭</x:v>
      </x:c>
      <x:c r="D328" s="49" t="str">
        <x:v>燕云</x:v>
      </x:c>
      <x:c r="E328" s="49" t="str">
        <x:v>兰亭→燕云</x:v>
      </x:c>
      <x:c r="F328" s="49" t="str"/>
      <x:c r="G328" s="49"/>
      <x:c r="H328" s="37"/>
      <x:c r="I328" s="37"/>
      <x:c r="J328" s="40"/>
      <x:c r="K328" s="40"/>
      <x:c r="L328" s="40"/>
      <x:c r="M328" s="40"/>
      <x:c r="N328" s="40"/>
      <x:c r="O328" s="40"/>
      <x:c r="P328" s="40" t="str">
        <x:f>IF(COUNT(J328:O328)=0,"",SUM(J328:O328))</x:f>
      </x:c>
      <x:c r="Q328" s="40" t="n">
        <x:v>29359140</x:v>
      </x:c>
      <x:c r="R328" s="40" t="n">
        <x:v>55951016</x:v>
      </x:c>
      <x:c r="S328" s="40" t="n">
        <x:v>160003850</x:v>
      </x:c>
      <x:c r="T328" s="40" t="n">
        <x:v>0</x:v>
      </x:c>
      <x:c r="U328" s="40" t="n">
        <x:v>96000</x:v>
      </x:c>
      <x:c r="V328" s="49" t="str">
        <x:v>宫阙1级</x:v>
      </x:c>
      <x:c r="W328" s="49" t="n">
        <x:v>2</x:v>
      </x:c>
      <x:c r="X328" s="52" t="n">
        <x:f>ROUND(100*(0.4*LN(1+Q328)/LN(1+MAX($Q$5:$Q$395))+0.35*R328/MAX($R$5:$R$395)+0.15*S328/MAX($S$5:$S$395)+IF(P328="",0,0.1*P328/MAX($P$5:$P$395)))/IF(P328="",0.9,1),1)</x:f>
        <x:v>54</x:v>
      </x:c>
      <x:c r="Y328" s="49" t="n">
        <x:f>RANK.EQ(X328,$X$5:$X$395,0)</x:f>
        <x:v>300</x:v>
      </x:c>
      <x:c r="Z328" s="34" t="str">
        <x:v>为一盟战斗重组和盟容量平衡进行对调</x:v>
      </x:c>
      <x:c r="AA328" s="55" t="str">
        <x:v>六维未匹配</x:v>
      </x:c>
    </x:row>
    <x:row r="329" ht="20" customHeight="1">
      <x:c r="A329" s="46" t="n">
        <x:v>324</x:v>
      </x:c>
      <x:c r="B329" s="27" t="str">
        <x:v>默资源</x:v>
      </x:c>
      <x:c r="C329" s="49" t="str">
        <x:v>燕云</x:v>
      </x:c>
      <x:c r="D329" s="49" t="str">
        <x:v>燕云</x:v>
      </x:c>
      <x:c r="E329" s="49" t="str">
        <x:v>留盟</x:v>
      </x:c>
      <x:c r="F329" s="49" t="str"/>
      <x:c r="G329" s="49"/>
      <x:c r="H329" s="37"/>
      <x:c r="I329" s="37"/>
      <x:c r="J329" s="40"/>
      <x:c r="K329" s="40"/>
      <x:c r="L329" s="40"/>
      <x:c r="M329" s="40"/>
      <x:c r="N329" s="40"/>
      <x:c r="O329" s="40"/>
      <x:c r="P329" s="40" t="str">
        <x:f>IF(COUNT(J329:O329)=0,"",SUM(J329:O329))</x:f>
      </x:c>
      <x:c r="Q329" s="40" t="n">
        <x:v>94251552</x:v>
      </x:c>
      <x:c r="R329" s="40" t="n">
        <x:v>31155911</x:v>
      </x:c>
      <x:c r="S329" s="40" t="n">
        <x:v>55158973</x:v>
      </x:c>
      <x:c r="T329" s="40" t="n">
        <x:v>0</x:v>
      </x:c>
      <x:c r="U329" s="40" t="n">
        <x:v>109200</x:v>
      </x:c>
      <x:c r="V329" s="49" t="str">
        <x:v>28</x:v>
      </x:c>
      <x:c r="W329" s="49" t="n">
        <x:v>4</x:v>
      </x:c>
      <x:c r="X329" s="52" t="n">
        <x:f>ROUND(100*(0.4*LN(1+Q329)/LN(1+MAX($Q$5:$Q$395))+0.35*R329/MAX($R$5:$R$395)+0.15*S329/MAX($S$5:$S$395)+IF(P329="",0,0.1*P329/MAX($P$5:$P$395)))/IF(P329="",0.9,1),1)</x:f>
        <x:v>45.7</x:v>
      </x:c>
      <x:c r="Y329" s="49" t="n">
        <x:f>RANK.EQ(X329,$X$5:$X$395,0)</x:f>
        <x:v>307</x:v>
      </x:c>
      <x:c r="Z329" s="34" t="str">
        <x:v>保持当前盟，减少迁移成本</x:v>
      </x:c>
      <x:c r="AA329" s="55" t="str">
        <x:v>六维未匹配</x:v>
      </x:c>
    </x:row>
    <x:row r="330" ht="20" customHeight="1">
      <x:c r="A330" s="46" t="n">
        <x:v>325</x:v>
      </x:c>
      <x:c r="B330" s="27" t="str">
        <x:v>游戏玩家</x:v>
      </x:c>
      <x:c r="C330" s="49" t="str">
        <x:v>燕云</x:v>
      </x:c>
      <x:c r="D330" s="49" t="str">
        <x:v>燕云</x:v>
      </x:c>
      <x:c r="E330" s="49" t="str">
        <x:v>留盟</x:v>
      </x:c>
      <x:c r="F330" s="49" t="str"/>
      <x:c r="G330" s="49"/>
      <x:c r="H330" s="37"/>
      <x:c r="I330" s="37"/>
      <x:c r="J330" s="40"/>
      <x:c r="K330" s="40"/>
      <x:c r="L330" s="40"/>
      <x:c r="M330" s="40"/>
      <x:c r="N330" s="40"/>
      <x:c r="O330" s="40"/>
      <x:c r="P330" s="40" t="str">
        <x:f>IF(COUNT(J330:O330)=0,"",SUM(J330:O330))</x:f>
      </x:c>
      <x:c r="Q330" s="40" t="n">
        <x:v>58328556</x:v>
      </x:c>
      <x:c r="R330" s="40" t="n">
        <x:v>26241205</x:v>
      </x:c>
      <x:c r="S330" s="40" t="n">
        <x:v>38585904</x:v>
      </x:c>
      <x:c r="T330" s="40" t="n">
        <x:v>0</x:v>
      </x:c>
      <x:c r="U330" s="40" t="n">
        <x:v>51600</x:v>
      </x:c>
      <x:c r="V330" s="49" t="str">
        <x:v>27</x:v>
      </x:c>
      <x:c r="W330" s="49" t="n">
        <x:v>2</x:v>
      </x:c>
      <x:c r="X330" s="52" t="n">
        <x:f>ROUND(100*(0.4*LN(1+Q330)/LN(1+MAX($Q$5:$Q$395))+0.35*R330/MAX($R$5:$R$395)+0.15*S330/MAX($S$5:$S$395)+IF(P330="",0,0.1*P330/MAX($P$5:$P$395)))/IF(P330="",0.9,1),1)</x:f>
        <x:v>42.8</x:v>
      </x:c>
      <x:c r="Y330" s="49" t="n">
        <x:f>RANK.EQ(X330,$X$5:$X$395,0)</x:f>
        <x:v>308</x:v>
      </x:c>
      <x:c r="Z330" s="34" t="str">
        <x:v>保持当前盟，减少迁移成本</x:v>
      </x:c>
      <x:c r="AA330" s="55" t="str">
        <x:v>六维未匹配</x:v>
      </x:c>
    </x:row>
    <x:row r="331" ht="20" customHeight="1">
      <x:c r="A331" s="46" t="n">
        <x:v>327</x:v>
      </x:c>
      <x:c r="B331" s="27" t="str">
        <x:v>小千与</x:v>
      </x:c>
      <x:c r="C331" s="49" t="str">
        <x:v>燕云</x:v>
      </x:c>
      <x:c r="D331" s="49" t="str">
        <x:v>燕云</x:v>
      </x:c>
      <x:c r="E331" s="49" t="str">
        <x:v>留盟</x:v>
      </x:c>
      <x:c r="F331" s="49" t="str"/>
      <x:c r="G331" s="49"/>
      <x:c r="H331" s="37"/>
      <x:c r="I331" s="37"/>
      <x:c r="J331" s="40"/>
      <x:c r="K331" s="40"/>
      <x:c r="L331" s="40"/>
      <x:c r="M331" s="40"/>
      <x:c r="N331" s="40"/>
      <x:c r="O331" s="40"/>
      <x:c r="P331" s="40" t="str">
        <x:f>IF(COUNT(J331:O331)=0,"",SUM(J331:O331))</x:f>
      </x:c>
      <x:c r="Q331" s="40" t="n">
        <x:v>5312500</x:v>
      </x:c>
      <x:c r="R331" s="40" t="n">
        <x:v>31520464</x:v>
      </x:c>
      <x:c r="S331" s="40" t="n">
        <x:v>57251400</x:v>
      </x:c>
      <x:c r="T331" s="40" t="n">
        <x:v>0</x:v>
      </x:c>
      <x:c r="U331" s="40" t="n">
        <x:v>104400</x:v>
      </x:c>
      <x:c r="V331" s="49" t="str">
        <x:v>28</x:v>
      </x:c>
      <x:c r="W331" s="49" t="n">
        <x:v>4</x:v>
      </x:c>
      <x:c r="X331" s="52" t="n">
        <x:f>ROUND(100*(0.4*LN(1+Q331)/LN(1+MAX($Q$5:$Q$395))+0.35*R331/MAX($R$5:$R$395)+0.15*S331/MAX($S$5:$S$395)+IF(P331="",0,0.1*P331/MAX($P$5:$P$395)))/IF(P331="",0.9,1),1)</x:f>
        <x:v>40.4</x:v>
      </x:c>
      <x:c r="Y331" s="49" t="n">
        <x:f>RANK.EQ(X331,$X$5:$X$395,0)</x:f>
        <x:v>311</x:v>
      </x:c>
      <x:c r="Z331" s="34" t="str">
        <x:v>保持当前盟，减少迁移成本</x:v>
      </x:c>
      <x:c r="AA331" s="55" t="str">
        <x:v>六维未匹配</x:v>
      </x:c>
    </x:row>
    <x:row r="332" ht="20" customHeight="1">
      <x:c r="A332" s="46" t="n">
        <x:v>385</x:v>
      </x:c>
      <x:c r="B332" s="27" t="str">
        <x:v>我是无辜的</x:v>
      </x:c>
      <x:c r="C332" s="49" t="str">
        <x:v>燕云</x:v>
      </x:c>
      <x:c r="D332" s="49" t="str">
        <x:v>燕云</x:v>
      </x:c>
      <x:c r="E332" s="49" t="str">
        <x:v>留盟</x:v>
      </x:c>
      <x:c r="F332" s="49" t="str">
        <x:v>兰亭</x:v>
      </x:c>
      <x:c r="G332" s="49" t="str">
        <x:v>兰亭</x:v>
      </x:c>
      <x:c r="H332" s="37" t="n">
        <x:v>28.1</x:v>
      </x:c>
      <x:c r="I332" s="37" t="n">
        <x:v>24.6</x:v>
      </x:c>
      <x:c r="J332" s="40" t="n">
        <x:v>772</x:v>
      </x:c>
      <x:c r="K332" s="40" t="n">
        <x:v>913</x:v>
      </x:c>
      <x:c r="L332" s="40" t="n">
        <x:v>642</x:v>
      </x:c>
      <x:c r="M332" s="40" t="n">
        <x:v>696</x:v>
      </x:c>
      <x:c r="N332" s="40" t="n">
        <x:v>756</x:v>
      </x:c>
      <x:c r="O332" s="40" t="n">
        <x:v>731</x:v>
      </x:c>
      <x:c r="P332" s="40" t="n">
        <x:f>IF(COUNT(J332:O332)=0,"",SUM(J332:O332))</x:f>
        <x:v>4510</x:v>
      </x:c>
      <x:c r="Q332" s="40" t="n">
        <x:v>0</x:v>
      </x:c>
      <x:c r="R332" s="40" t="n">
        <x:v>92503025</x:v>
      </x:c>
      <x:c r="S332" s="40" t="n">
        <x:v>223496197</x:v>
      </x:c>
      <x:c r="T332" s="40" t="n">
        <x:v>0</x:v>
      </x:c>
      <x:c r="U332" s="40" t="n">
        <x:v>13680</x:v>
      </x:c>
      <x:c r="V332" s="49" t="str">
        <x:v>宫阙3级</x:v>
      </x:c>
      <x:c r="W332" s="49" t="n">
        <x:v>3</x:v>
      </x:c>
      <x:c r="X332" s="52" t="n">
        <x:f>ROUND(100*(0.4*LN(1+Q332)/LN(1+MAX($Q$5:$Q$395))+0.35*R332/MAX($R$5:$R$395)+0.15*S332/MAX($S$5:$S$395)+IF(P332="",0,0.1*P332/MAX($P$5:$P$395)))/IF(P332="",0.9,1),1)</x:f>
        <x:v>37.5</x:v>
      </x:c>
      <x:c r="Y332" s="49" t="n">
        <x:f>RANK.EQ(X332,$X$5:$X$395,0)</x:f>
        <x:v>312</x:v>
      </x:c>
      <x:c r="Z332" s="34" t="str">
        <x:v>保持当前盟，减少迁移成本</x:v>
      </x:c>
      <x:c r="AA332" s="55"/>
    </x:row>
    <x:row r="333" ht="20" customHeight="1">
      <x:c r="A333" s="46" t="n">
        <x:v>381</x:v>
      </x:c>
      <x:c r="B333" s="27" t="str">
        <x:v>许诺是个小虾米</x:v>
      </x:c>
      <x:c r="C333" s="49" t="str">
        <x:v>燕云</x:v>
      </x:c>
      <x:c r="D333" s="49" t="str">
        <x:v>燕云</x:v>
      </x:c>
      <x:c r="E333" s="49" t="str">
        <x:v>留盟</x:v>
      </x:c>
      <x:c r="F333" s="49" t="str"/>
      <x:c r="G333" s="49"/>
      <x:c r="H333" s="37"/>
      <x:c r="I333" s="37"/>
      <x:c r="J333" s="40"/>
      <x:c r="K333" s="40"/>
      <x:c r="L333" s="40"/>
      <x:c r="M333" s="40"/>
      <x:c r="N333" s="40"/>
      <x:c r="O333" s="40"/>
      <x:c r="P333" s="40" t="str">
        <x:f>IF(COUNT(J333:O333)=0,"",SUM(J333:O333))</x:f>
      </x:c>
      <x:c r="Q333" s="40" t="n">
        <x:v>0</x:v>
      </x:c>
      <x:c r="R333" s="40" t="n">
        <x:v>62774341</x:v>
      </x:c>
      <x:c r="S333" s="40" t="n">
        <x:v>142578913</x:v>
      </x:c>
      <x:c r="T333" s="40" t="n">
        <x:v>0</x:v>
      </x:c>
      <x:c r="U333" s="40" t="n">
        <x:v>15800</x:v>
      </x:c>
      <x:c r="V333" s="49" t="str">
        <x:v>宫阙2级</x:v>
      </x:c>
      <x:c r="W333" s="49" t="n">
        <x:v>2</x:v>
      </x:c>
      <x:c r="X333" s="52" t="n">
        <x:f>ROUND(100*(0.4*LN(1+Q333)/LN(1+MAX($Q$5:$Q$395))+0.35*R333/MAX($R$5:$R$395)+0.15*S333/MAX($S$5:$S$395)+IF(P333="",0,0.1*P333/MAX($P$5:$P$395)))/IF(P333="",0.9,1),1)</x:f>
        <x:v>22.7</x:v>
      </x:c>
      <x:c r="Y333" s="49" t="n">
        <x:f>RANK.EQ(X333,$X$5:$X$395,0)</x:f>
        <x:v>320</x:v>
      </x:c>
      <x:c r="Z333" s="34" t="str">
        <x:v>保持当前盟，减少迁移成本</x:v>
      </x:c>
      <x:c r="AA333" s="55" t="str">
        <x:v>六维未匹配</x:v>
      </x:c>
    </x:row>
    <x:row r="334" ht="20" customHeight="1">
      <x:c r="A334" s="46" t="n">
        <x:v>383</x:v>
      </x:c>
      <x:c r="B334" s="27" t="str">
        <x:v>上官十一</x:v>
      </x:c>
      <x:c r="C334" s="49" t="str">
        <x:v>燕云</x:v>
      </x:c>
      <x:c r="D334" s="49" t="str">
        <x:v>燕云</x:v>
      </x:c>
      <x:c r="E334" s="49" t="str">
        <x:v>留盟</x:v>
      </x:c>
      <x:c r="F334" s="49" t="str"/>
      <x:c r="G334" s="49"/>
      <x:c r="H334" s="37"/>
      <x:c r="I334" s="37"/>
      <x:c r="J334" s="40"/>
      <x:c r="K334" s="40"/>
      <x:c r="L334" s="40"/>
      <x:c r="M334" s="40"/>
      <x:c r="N334" s="40"/>
      <x:c r="O334" s="40"/>
      <x:c r="P334" s="40" t="str">
        <x:f>IF(COUNT(J334:O334)=0,"",SUM(J334:O334))</x:f>
      </x:c>
      <x:c r="Q334" s="40" t="n">
        <x:v>0</x:v>
      </x:c>
      <x:c r="R334" s="40" t="n">
        <x:v>60387084</x:v>
      </x:c>
      <x:c r="S334" s="40" t="n">
        <x:v>147139128</x:v>
      </x:c>
      <x:c r="T334" s="40" t="n">
        <x:v>0</x:v>
      </x:c>
      <x:c r="U334" s="40" t="n">
        <x:v>41280</x:v>
      </x:c>
      <x:c r="V334" s="49" t="str">
        <x:v>宫阙3级</x:v>
      </x:c>
      <x:c r="W334" s="49" t="n">
        <x:v>4</x:v>
      </x:c>
      <x:c r="X334" s="52" t="n">
        <x:f>ROUND(100*(0.4*LN(1+Q334)/LN(1+MAX($Q$5:$Q$395))+0.35*R334/MAX($R$5:$R$395)+0.15*S334/MAX($S$5:$S$395)+IF(P334="",0,0.1*P334/MAX($P$5:$P$395)))/IF(P334="",0.9,1),1)</x:f>
        <x:v>22.1</x:v>
      </x:c>
      <x:c r="Y334" s="49" t="n">
        <x:f>RANK.EQ(X334,$X$5:$X$395,0)</x:f>
        <x:v>322</x:v>
      </x:c>
      <x:c r="Z334" s="34" t="str">
        <x:v>保持当前盟，减少迁移成本</x:v>
      </x:c>
      <x:c r="AA334" s="55" t="str">
        <x:v>六维未匹配</x:v>
      </x:c>
    </x:row>
    <x:row r="335" ht="20" customHeight="1">
      <x:c r="A335" s="46" t="n">
        <x:v>389</x:v>
      </x:c>
      <x:c r="B335" s="27" t="str">
        <x:v>迷你秋啾啾</x:v>
      </x:c>
      <x:c r="C335" s="49" t="str">
        <x:v>燕云</x:v>
      </x:c>
      <x:c r="D335" s="49" t="str">
        <x:v>燕云</x:v>
      </x:c>
      <x:c r="E335" s="49" t="str">
        <x:v>留盟</x:v>
      </x:c>
      <x:c r="F335" s="49" t="str"/>
      <x:c r="G335" s="49"/>
      <x:c r="H335" s="37"/>
      <x:c r="I335" s="37"/>
      <x:c r="J335" s="40"/>
      <x:c r="K335" s="40"/>
      <x:c r="L335" s="40"/>
      <x:c r="M335" s="40"/>
      <x:c r="N335" s="40"/>
      <x:c r="O335" s="40"/>
      <x:c r="P335" s="40" t="str">
        <x:f>IF(COUNT(J335:O335)=0,"",SUM(J335:O335))</x:f>
      </x:c>
      <x:c r="Q335" s="40" t="n">
        <x:v>0</x:v>
      </x:c>
      <x:c r="R335" s="40" t="n">
        <x:v>50794919</x:v>
      </x:c>
      <x:c r="S335" s="40" t="n">
        <x:v>124991551</x:v>
      </x:c>
      <x:c r="T335" s="40" t="n">
        <x:v>0</x:v>
      </x:c>
      <x:c r="U335" s="40" t="n">
        <x:v>21840</x:v>
      </x:c>
      <x:c r="V335" s="49" t="str">
        <x:v>宫阙1级</x:v>
      </x:c>
      <x:c r="W335" s="49" t="n">
        <x:v>2</x:v>
      </x:c>
      <x:c r="X335" s="52" t="n">
        <x:f>ROUND(100*(0.4*LN(1+Q335)/LN(1+MAX($Q$5:$Q$395))+0.35*R335/MAX($R$5:$R$395)+0.15*S335/MAX($S$5:$S$395)+IF(P335="",0,0.1*P335/MAX($P$5:$P$395)))/IF(P335="",0.9,1),1)</x:f>
        <x:v>18.6</x:v>
      </x:c>
      <x:c r="Y335" s="49" t="n">
        <x:f>RANK.EQ(X335,$X$5:$X$395,0)</x:f>
        <x:v>326</x:v>
      </x:c>
      <x:c r="Z335" s="34" t="str">
        <x:v>保持当前盟，减少迁移成本</x:v>
      </x:c>
      <x:c r="AA335" s="55" t="str">
        <x:v>六维未匹配</x:v>
      </x:c>
    </x:row>
    <x:row r="336" ht="20" customHeight="1">
      <x:c r="A336" s="46" t="n">
        <x:v>364</x:v>
      </x:c>
      <x:c r="B336" s="27" t="str">
        <x:v>机器人大战木头人</x:v>
      </x:c>
      <x:c r="C336" s="49" t="str">
        <x:v>燕云</x:v>
      </x:c>
      <x:c r="D336" s="49" t="str">
        <x:v>燕云</x:v>
      </x:c>
      <x:c r="E336" s="49" t="str">
        <x:v>留盟</x:v>
      </x:c>
      <x:c r="F336" s="49" t="str"/>
      <x:c r="G336" s="49"/>
      <x:c r="H336" s="37"/>
      <x:c r="I336" s="37"/>
      <x:c r="J336" s="40"/>
      <x:c r="K336" s="40"/>
      <x:c r="L336" s="40"/>
      <x:c r="M336" s="40"/>
      <x:c r="N336" s="40"/>
      <x:c r="O336" s="40"/>
      <x:c r="P336" s="40" t="str">
        <x:f>IF(COUNT(J336:O336)=0,"",SUM(J336:O336))</x:f>
      </x:c>
      <x:c r="Q336" s="40" t="n">
        <x:v>0</x:v>
      </x:c>
      <x:c r="R336" s="40" t="n">
        <x:v>50927713</x:v>
      </x:c>
      <x:c r="S336" s="40" t="n">
        <x:v>115221367</x:v>
      </x:c>
      <x:c r="T336" s="40" t="n">
        <x:v>0</x:v>
      </x:c>
      <x:c r="U336" s="40" t="n">
        <x:v>0</x:v>
      </x:c>
      <x:c r="V336" s="49" t="str">
        <x:v>宫阙2级</x:v>
      </x:c>
      <x:c r="W336" s="49" t="n">
        <x:v>2</x:v>
      </x:c>
      <x:c r="X336" s="52" t="n">
        <x:f>ROUND(100*(0.4*LN(1+Q336)/LN(1+MAX($Q$5:$Q$395))+0.35*R336/MAX($R$5:$R$395)+0.15*S336/MAX($S$5:$S$395)+IF(P336="",0,0.1*P336/MAX($P$5:$P$395)))/IF(P336="",0.9,1),1)</x:f>
        <x:v>18.4</x:v>
      </x:c>
      <x:c r="Y336" s="49" t="n">
        <x:f>RANK.EQ(X336,$X$5:$X$395,0)</x:f>
        <x:v>327</x:v>
      </x:c>
      <x:c r="Z336" s="34" t="str">
        <x:v>保持当前盟，减少迁移成本</x:v>
      </x:c>
      <x:c r="AA336" s="55" t="str">
        <x:v>六维未匹配</x:v>
      </x:c>
    </x:row>
    <x:row r="337" ht="20" customHeight="1">
      <x:c r="A337" s="46" t="n">
        <x:v>378</x:v>
      </x:c>
      <x:c r="B337" s="27" t="str">
        <x:v>小洛雪</x:v>
      </x:c>
      <x:c r="C337" s="49" t="str">
        <x:v>燕云</x:v>
      </x:c>
      <x:c r="D337" s="49" t="str">
        <x:v>燕云</x:v>
      </x:c>
      <x:c r="E337" s="49" t="str">
        <x:v>留盟</x:v>
      </x:c>
      <x:c r="F337" s="49" t="str"/>
      <x:c r="G337" s="49"/>
      <x:c r="H337" s="37"/>
      <x:c r="I337" s="37"/>
      <x:c r="J337" s="40"/>
      <x:c r="K337" s="40"/>
      <x:c r="L337" s="40"/>
      <x:c r="M337" s="40"/>
      <x:c r="N337" s="40"/>
      <x:c r="O337" s="40"/>
      <x:c r="P337" s="40" t="str">
        <x:f>IF(COUNT(J337:O337)=0,"",SUM(J337:O337))</x:f>
      </x:c>
      <x:c r="Q337" s="40" t="n">
        <x:v>0</x:v>
      </x:c>
      <x:c r="R337" s="40" t="n">
        <x:v>49794016</x:v>
      </x:c>
      <x:c r="S337" s="40" t="n">
        <x:v>109196489</x:v>
      </x:c>
      <x:c r="T337" s="40" t="n">
        <x:v>0</x:v>
      </x:c>
      <x:c r="U337" s="40" t="n">
        <x:v>12240</x:v>
      </x:c>
      <x:c r="V337" s="49" t="str">
        <x:v>宫阙1级</x:v>
      </x:c>
      <x:c r="W337" s="49" t="n">
        <x:v>4</x:v>
      </x:c>
      <x:c r="X337" s="52" t="n">
        <x:f>ROUND(100*(0.4*LN(1+Q337)/LN(1+MAX($Q$5:$Q$395))+0.35*R337/MAX($R$5:$R$395)+0.15*S337/MAX($S$5:$S$395)+IF(P337="",0,0.1*P337/MAX($P$5:$P$395)))/IF(P337="",0.9,1),1)</x:f>
        <x:v>17.8</x:v>
      </x:c>
      <x:c r="Y337" s="49" t="n">
        <x:f>RANK.EQ(X337,$X$5:$X$395,0)</x:f>
        <x:v>328</x:v>
      </x:c>
      <x:c r="Z337" s="34" t="str">
        <x:v>保持当前盟，减少迁移成本</x:v>
      </x:c>
      <x:c r="AA337" s="55" t="str">
        <x:v>六维未匹配</x:v>
      </x:c>
    </x:row>
    <x:row r="338" ht="20" customHeight="1">
      <x:c r="A338" s="46" t="n">
        <x:v>339</x:v>
      </x:c>
      <x:c r="B338" s="27" t="str">
        <x:v>想的美</x:v>
      </x:c>
      <x:c r="C338" s="49" t="str">
        <x:v>燕云</x:v>
      </x:c>
      <x:c r="D338" s="49" t="str">
        <x:v>燕云</x:v>
      </x:c>
      <x:c r="E338" s="49" t="str">
        <x:v>留盟</x:v>
      </x:c>
      <x:c r="F338" s="49" t="str"/>
      <x:c r="G338" s="49"/>
      <x:c r="H338" s="37"/>
      <x:c r="I338" s="37"/>
      <x:c r="J338" s="40"/>
      <x:c r="K338" s="40"/>
      <x:c r="L338" s="40"/>
      <x:c r="M338" s="40"/>
      <x:c r="N338" s="40"/>
      <x:c r="O338" s="40"/>
      <x:c r="P338" s="40" t="str">
        <x:f>IF(COUNT(J338:O338)=0,"",SUM(J338:O338))</x:f>
      </x:c>
      <x:c r="Q338" s="40" t="n">
        <x:v>0</x:v>
      </x:c>
      <x:c r="R338" s="40" t="n">
        <x:v>47475404</x:v>
      </x:c>
      <x:c r="S338" s="40" t="n">
        <x:v>101420808</x:v>
      </x:c>
      <x:c r="T338" s="40" t="n">
        <x:v>0</x:v>
      </x:c>
      <x:c r="U338" s="40" t="n">
        <x:v>141000</x:v>
      </x:c>
      <x:c r="V338" s="49" t="str">
        <x:v>29</x:v>
      </x:c>
      <x:c r="W338" s="49" t="n">
        <x:v>4</x:v>
      </x:c>
      <x:c r="X338" s="52" t="n">
        <x:f>ROUND(100*(0.4*LN(1+Q338)/LN(1+MAX($Q$5:$Q$395))+0.35*R338/MAX($R$5:$R$395)+0.15*S338/MAX($S$5:$S$395)+IF(P338="",0,0.1*P338/MAX($P$5:$P$395)))/IF(P338="",0.9,1),1)</x:f>
        <x:v>16.9</x:v>
      </x:c>
      <x:c r="Y338" s="49" t="n">
        <x:f>RANK.EQ(X338,$X$5:$X$395,0)</x:f>
        <x:v>329</x:v>
      </x:c>
      <x:c r="Z338" s="34" t="str">
        <x:v>保持当前盟，减少迁移成本</x:v>
      </x:c>
      <x:c r="AA338" s="55" t="str">
        <x:v>六维未匹配</x:v>
      </x:c>
    </x:row>
    <x:row r="339" ht="20" customHeight="1">
      <x:c r="A339" s="46" t="n">
        <x:v>331</x:v>
      </x:c>
      <x:c r="B339" s="27" t="str">
        <x:v>城市套路深</x:v>
      </x:c>
      <x:c r="C339" s="49" t="str">
        <x:v>燕云</x:v>
      </x:c>
      <x:c r="D339" s="49" t="str">
        <x:v>燕云</x:v>
      </x:c>
      <x:c r="E339" s="49" t="str">
        <x:v>留盟</x:v>
      </x:c>
      <x:c r="F339" s="49" t="str"/>
      <x:c r="G339" s="49"/>
      <x:c r="H339" s="37"/>
      <x:c r="I339" s="37"/>
      <x:c r="J339" s="40"/>
      <x:c r="K339" s="40"/>
      <x:c r="L339" s="40"/>
      <x:c r="M339" s="40"/>
      <x:c r="N339" s="40"/>
      <x:c r="O339" s="40"/>
      <x:c r="P339" s="40" t="str">
        <x:f>IF(COUNT(J339:O339)=0,"",SUM(J339:O339))</x:f>
      </x:c>
      <x:c r="Q339" s="40" t="n">
        <x:v>0</x:v>
      </x:c>
      <x:c r="R339" s="40" t="n">
        <x:v>46286397</x:v>
      </x:c>
      <x:c r="S339" s="40" t="n">
        <x:v>89814462</x:v>
      </x:c>
      <x:c r="T339" s="40" t="n">
        <x:v>0</x:v>
      </x:c>
      <x:c r="U339" s="40" t="n">
        <x:v>0</x:v>
      </x:c>
      <x:c r="V339" s="49" t="str">
        <x:v>30</x:v>
      </x:c>
      <x:c r="W339" s="49" t="n">
        <x:v>1</x:v>
      </x:c>
      <x:c r="X339" s="52" t="n">
        <x:f>ROUND(100*(0.4*LN(1+Q339)/LN(1+MAX($Q$5:$Q$395))+0.35*R339/MAX($R$5:$R$395)+0.15*S339/MAX($S$5:$S$395)+IF(P339="",0,0.1*P339/MAX($P$5:$P$395)))/IF(P339="",0.9,1),1)</x:f>
        <x:v>16.2</x:v>
      </x:c>
      <x:c r="Y339" s="49" t="n">
        <x:f>RANK.EQ(X339,$X$5:$X$395,0)</x:f>
        <x:v>330</x:v>
      </x:c>
      <x:c r="Z339" s="34" t="str">
        <x:v>保持当前盟，减少迁移成本</x:v>
      </x:c>
      <x:c r="AA339" s="55" t="str">
        <x:v>六维未匹配</x:v>
      </x:c>
    </x:row>
    <x:row r="340" ht="20" customHeight="1">
      <x:c r="A340" s="46" t="n">
        <x:v>342</x:v>
      </x:c>
      <x:c r="B340" s="27" t="str">
        <x:v>爱吃拼好饭</x:v>
      </x:c>
      <x:c r="C340" s="49" t="str">
        <x:v>燕云</x:v>
      </x:c>
      <x:c r="D340" s="49" t="str">
        <x:v>燕云</x:v>
      </x:c>
      <x:c r="E340" s="49" t="str">
        <x:v>留盟</x:v>
      </x:c>
      <x:c r="F340" s="49" t="str"/>
      <x:c r="G340" s="49"/>
      <x:c r="H340" s="37"/>
      <x:c r="I340" s="37"/>
      <x:c r="J340" s="40"/>
      <x:c r="K340" s="40"/>
      <x:c r="L340" s="40"/>
      <x:c r="M340" s="40"/>
      <x:c r="N340" s="40"/>
      <x:c r="O340" s="40"/>
      <x:c r="P340" s="40" t="str">
        <x:f>IF(COUNT(J340:O340)=0,"",SUM(J340:O340))</x:f>
      </x:c>
      <x:c r="Q340" s="40" t="n">
        <x:v>0</x:v>
      </x:c>
      <x:c r="R340" s="40" t="n">
        <x:v>44030953</x:v>
      </x:c>
      <x:c r="S340" s="40" t="n">
        <x:v>90321873</x:v>
      </x:c>
      <x:c r="T340" s="40" t="n">
        <x:v>0</x:v>
      </x:c>
      <x:c r="U340" s="40" t="n">
        <x:v>43200</x:v>
      </x:c>
      <x:c r="V340" s="49" t="str">
        <x:v>宫阙1级</x:v>
      </x:c>
      <x:c r="W340" s="49" t="n">
        <x:v>4</x:v>
      </x:c>
      <x:c r="X340" s="52" t="n">
        <x:f>ROUND(100*(0.4*LN(1+Q340)/LN(1+MAX($Q$5:$Q$395))+0.35*R340/MAX($R$5:$R$395)+0.15*S340/MAX($S$5:$S$395)+IF(P340="",0,0.1*P340/MAX($P$5:$P$395)))/IF(P340="",0.9,1),1)</x:f>
        <x:v>15.6</x:v>
      </x:c>
      <x:c r="Y340" s="49" t="n">
        <x:f>RANK.EQ(X340,$X$5:$X$395,0)</x:f>
        <x:v>333</x:v>
      </x:c>
      <x:c r="Z340" s="34" t="str">
        <x:v>保持当前盟，减少迁移成本</x:v>
      </x:c>
      <x:c r="AA340" s="55" t="str">
        <x:v>六维未匹配</x:v>
      </x:c>
    </x:row>
    <x:row r="341" ht="20" customHeight="1">
      <x:c r="A341" s="46" t="n">
        <x:v>384</x:v>
      </x:c>
      <x:c r="B341" s="27" t="str">
        <x:v>嘤嘤嘤11111</x:v>
      </x:c>
      <x:c r="C341" s="49" t="str">
        <x:v>燕云</x:v>
      </x:c>
      <x:c r="D341" s="49" t="str">
        <x:v>燕云</x:v>
      </x:c>
      <x:c r="E341" s="49" t="str">
        <x:v>留盟</x:v>
      </x:c>
      <x:c r="F341" s="49" t="str"/>
      <x:c r="G341" s="49"/>
      <x:c r="H341" s="37"/>
      <x:c r="I341" s="37"/>
      <x:c r="J341" s="40"/>
      <x:c r="K341" s="40"/>
      <x:c r="L341" s="40"/>
      <x:c r="M341" s="40"/>
      <x:c r="N341" s="40"/>
      <x:c r="O341" s="40"/>
      <x:c r="P341" s="40" t="str">
        <x:f>IF(COUNT(J341:O341)=0,"",SUM(J341:O341))</x:f>
      </x:c>
      <x:c r="Q341" s="40" t="n">
        <x:v>0</x:v>
      </x:c>
      <x:c r="R341" s="40" t="n">
        <x:v>37505382</x:v>
      </x:c>
      <x:c r="S341" s="40" t="n">
        <x:v>111758065</x:v>
      </x:c>
      <x:c r="T341" s="40" t="n">
        <x:v>0</x:v>
      </x:c>
      <x:c r="U341" s="40" t="n">
        <x:v>27120</x:v>
      </x:c>
      <x:c r="V341" s="49" t="str">
        <x:v>29</x:v>
      </x:c>
      <x:c r="W341" s="49" t="n">
        <x:v>3</x:v>
      </x:c>
      <x:c r="X341" s="52" t="n">
        <x:f>ROUND(100*(0.4*LN(1+Q341)/LN(1+MAX($Q$5:$Q$395))+0.35*R341/MAX($R$5:$R$395)+0.15*S341/MAX($S$5:$S$395)+IF(P341="",0,0.1*P341/MAX($P$5:$P$395)))/IF(P341="",0.9,1),1)</x:f>
        <x:v>14.4</x:v>
      </x:c>
      <x:c r="Y341" s="49" t="n">
        <x:f>RANK.EQ(X341,$X$5:$X$395,0)</x:f>
        <x:v>335</x:v>
      </x:c>
      <x:c r="Z341" s="34" t="str">
        <x:v>保持当前盟，减少迁移成本</x:v>
      </x:c>
      <x:c r="AA341" s="55" t="str">
        <x:v>六维未匹配</x:v>
      </x:c>
    </x:row>
    <x:row r="342" ht="20" customHeight="1">
      <x:c r="A342" s="46" t="n">
        <x:v>390</x:v>
      </x:c>
      <x:c r="B342" s="27" t="str">
        <x:v>小苍苍</x:v>
      </x:c>
      <x:c r="C342" s="49" t="str">
        <x:v>燕云</x:v>
      </x:c>
      <x:c r="D342" s="49" t="str">
        <x:v>燕云</x:v>
      </x:c>
      <x:c r="E342" s="49" t="str">
        <x:v>留盟</x:v>
      </x:c>
      <x:c r="F342" s="49" t="str"/>
      <x:c r="G342" s="49"/>
      <x:c r="H342" s="37"/>
      <x:c r="I342" s="37"/>
      <x:c r="J342" s="40"/>
      <x:c r="K342" s="40"/>
      <x:c r="L342" s="40"/>
      <x:c r="M342" s="40"/>
      <x:c r="N342" s="40"/>
      <x:c r="O342" s="40"/>
      <x:c r="P342" s="40" t="str">
        <x:f>IF(COUNT(J342:O342)=0,"",SUM(J342:O342))</x:f>
      </x:c>
      <x:c r="Q342" s="40" t="n">
        <x:v>0</x:v>
      </x:c>
      <x:c r="R342" s="40" t="n">
        <x:v>39470082</x:v>
      </x:c>
      <x:c r="S342" s="40" t="n">
        <x:v>68059064</x:v>
      </x:c>
      <x:c r="T342" s="40" t="n">
        <x:v>0</x:v>
      </x:c>
      <x:c r="U342" s="40" t="n">
        <x:v>17040</x:v>
      </x:c>
      <x:c r="V342" s="49" t="str">
        <x:v>28</x:v>
      </x:c>
      <x:c r="W342" s="49" t="n">
        <x:v>2</x:v>
      </x:c>
      <x:c r="X342" s="52" t="n">
        <x:f>ROUND(100*(0.4*LN(1+Q342)/LN(1+MAX($Q$5:$Q$395))+0.35*R342/MAX($R$5:$R$395)+0.15*S342/MAX($S$5:$S$395)+IF(P342="",0,0.1*P342/MAX($P$5:$P$395)))/IF(P342="",0.9,1),1)</x:f>
        <x:v>13.5</x:v>
      </x:c>
      <x:c r="Y342" s="49" t="n">
        <x:f>RANK.EQ(X342,$X$5:$X$395,0)</x:f>
        <x:v>337</x:v>
      </x:c>
      <x:c r="Z342" s="34" t="str">
        <x:v>保持当前盟，减少迁移成本</x:v>
      </x:c>
      <x:c r="AA342" s="55" t="str">
        <x:v>六维未匹配</x:v>
      </x:c>
    </x:row>
    <x:row r="343" ht="20" customHeight="1">
      <x:c r="A343" s="46" t="n">
        <x:v>361</x:v>
      </x:c>
      <x:c r="B343" s="27" t="str">
        <x:v>曹丕的画多少钱</x:v>
      </x:c>
      <x:c r="C343" s="49" t="str">
        <x:v>燕云</x:v>
      </x:c>
      <x:c r="D343" s="49" t="str">
        <x:v>燕云</x:v>
      </x:c>
      <x:c r="E343" s="49" t="str">
        <x:v>留盟</x:v>
      </x:c>
      <x:c r="F343" s="49" t="str"/>
      <x:c r="G343" s="49"/>
      <x:c r="H343" s="37"/>
      <x:c r="I343" s="37"/>
      <x:c r="J343" s="40"/>
      <x:c r="K343" s="40"/>
      <x:c r="L343" s="40"/>
      <x:c r="M343" s="40"/>
      <x:c r="N343" s="40"/>
      <x:c r="O343" s="40"/>
      <x:c r="P343" s="40" t="str">
        <x:f>IF(COUNT(J343:O343)=0,"",SUM(J343:O343))</x:f>
      </x:c>
      <x:c r="Q343" s="40" t="n">
        <x:v>0</x:v>
      </x:c>
      <x:c r="R343" s="40" t="n">
        <x:v>34716773</x:v>
      </x:c>
      <x:c r="S343" s="40" t="n">
        <x:v>55095941</x:v>
      </x:c>
      <x:c r="T343" s="40" t="n">
        <x:v>0</x:v>
      </x:c>
      <x:c r="U343" s="40" t="n">
        <x:v>0</x:v>
      </x:c>
      <x:c r="V343" s="49" t="str">
        <x:v>30</x:v>
      </x:c>
      <x:c r="W343" s="49" t="n">
        <x:v>1</x:v>
      </x:c>
      <x:c r="X343" s="52" t="n">
        <x:f>ROUND(100*(0.4*LN(1+Q343)/LN(1+MAX($Q$5:$Q$395))+0.35*R343/MAX($R$5:$R$395)+0.15*S343/MAX($S$5:$S$395)+IF(P343="",0,0.1*P343/MAX($P$5:$P$395)))/IF(P343="",0.9,1),1)</x:f>
        <x:v>11.8</x:v>
      </x:c>
      <x:c r="Y343" s="49" t="n">
        <x:f>RANK.EQ(X343,$X$5:$X$395,0)</x:f>
        <x:v>339</x:v>
      </x:c>
      <x:c r="Z343" s="34" t="str">
        <x:v>保持当前盟，减少迁移成本</x:v>
      </x:c>
      <x:c r="AA343" s="55" t="str">
        <x:v>六维未匹配</x:v>
      </x:c>
    </x:row>
    <x:row r="344" ht="20" customHeight="1">
      <x:c r="A344" s="46" t="n">
        <x:v>367</x:v>
      </x:c>
      <x:c r="B344" s="27" t="str">
        <x:v>十九停</x:v>
      </x:c>
      <x:c r="C344" s="49" t="str">
        <x:v>燕云</x:v>
      </x:c>
      <x:c r="D344" s="49" t="str">
        <x:v>燕云</x:v>
      </x:c>
      <x:c r="E344" s="49" t="str">
        <x:v>留盟</x:v>
      </x:c>
      <x:c r="F344" s="49" t="str"/>
      <x:c r="G344" s="49"/>
      <x:c r="H344" s="37"/>
      <x:c r="I344" s="37"/>
      <x:c r="J344" s="40"/>
      <x:c r="K344" s="40"/>
      <x:c r="L344" s="40"/>
      <x:c r="M344" s="40"/>
      <x:c r="N344" s="40"/>
      <x:c r="O344" s="40"/>
      <x:c r="P344" s="40" t="str">
        <x:f>IF(COUNT(J344:O344)=0,"",SUM(J344:O344))</x:f>
      </x:c>
      <x:c r="Q344" s="40" t="n">
        <x:v>0</x:v>
      </x:c>
      <x:c r="R344" s="40" t="n">
        <x:v>33989580</x:v>
      </x:c>
      <x:c r="S344" s="40" t="n">
        <x:v>60990904</x:v>
      </x:c>
      <x:c r="T344" s="40" t="n">
        <x:v>0</x:v>
      </x:c>
      <x:c r="U344" s="40" t="n">
        <x:v>7920</x:v>
      </x:c>
      <x:c r="V344" s="49" t="str">
        <x:v>30</x:v>
      </x:c>
      <x:c r="W344" s="49" t="n">
        <x:v>2</x:v>
      </x:c>
      <x:c r="X344" s="52" t="n">
        <x:f>ROUND(100*(0.4*LN(1+Q344)/LN(1+MAX($Q$5:$Q$395))+0.35*R344/MAX($R$5:$R$395)+0.15*S344/MAX($S$5:$S$395)+IF(P344="",0,0.1*P344/MAX($P$5:$P$395)))/IF(P344="",0.9,1),1)</x:f>
        <x:v>11.7</x:v>
      </x:c>
      <x:c r="Y344" s="49" t="n">
        <x:f>RANK.EQ(X344,$X$5:$X$395,0)</x:f>
        <x:v>340</x:v>
      </x:c>
      <x:c r="Z344" s="34" t="str">
        <x:v>保持当前盟，减少迁移成本</x:v>
      </x:c>
      <x:c r="AA344" s="55" t="str">
        <x:v>六维未匹配</x:v>
      </x:c>
    </x:row>
    <x:row r="345" ht="20" customHeight="1">
      <x:c r="A345" s="46" t="n">
        <x:v>368</x:v>
      </x:c>
      <x:c r="B345" s="27" t="str">
        <x:v>云子呀</x:v>
      </x:c>
      <x:c r="C345" s="49" t="str">
        <x:v>燕云</x:v>
      </x:c>
      <x:c r="D345" s="49" t="str">
        <x:v>燕云</x:v>
      </x:c>
      <x:c r="E345" s="49" t="str">
        <x:v>留盟</x:v>
      </x:c>
      <x:c r="F345" s="49" t="str"/>
      <x:c r="G345" s="49"/>
      <x:c r="H345" s="37"/>
      <x:c r="I345" s="37"/>
      <x:c r="J345" s="40"/>
      <x:c r="K345" s="40"/>
      <x:c r="L345" s="40"/>
      <x:c r="M345" s="40"/>
      <x:c r="N345" s="40"/>
      <x:c r="O345" s="40"/>
      <x:c r="P345" s="40" t="str">
        <x:f>IF(COUNT(J345:O345)=0,"",SUM(J345:O345))</x:f>
      </x:c>
      <x:c r="Q345" s="40" t="n">
        <x:v>0</x:v>
      </x:c>
      <x:c r="R345" s="40" t="n">
        <x:v>32842440</x:v>
      </x:c>
      <x:c r="S345" s="40" t="n">
        <x:v>50309141</x:v>
      </x:c>
      <x:c r="T345" s="40" t="n">
        <x:v>0</x:v>
      </x:c>
      <x:c r="U345" s="40" t="n">
        <x:v>0</x:v>
      </x:c>
      <x:c r="V345" s="49" t="str">
        <x:v>30</x:v>
      </x:c>
      <x:c r="W345" s="49" t="n">
        <x:v>1</x:v>
      </x:c>
      <x:c r="X345" s="52" t="n">
        <x:f>ROUND(100*(0.4*LN(1+Q345)/LN(1+MAX($Q$5:$Q$395))+0.35*R345/MAX($R$5:$R$395)+0.15*S345/MAX($S$5:$S$395)+IF(P345="",0,0.1*P345/MAX($P$5:$P$395)))/IF(P345="",0.9,1),1)</x:f>
        <x:v>11.1</x:v>
      </x:c>
      <x:c r="Y345" s="49" t="n">
        <x:f>RANK.EQ(X345,$X$5:$X$395,0)</x:f>
        <x:v>341</x:v>
      </x:c>
      <x:c r="Z345" s="34" t="str">
        <x:v>保持当前盟，减少迁移成本</x:v>
      </x:c>
      <x:c r="AA345" s="55" t="str">
        <x:v>六维未匹配</x:v>
      </x:c>
    </x:row>
    <x:row r="346" ht="20" customHeight="1">
      <x:c r="A346" s="46" t="n">
        <x:v>358</x:v>
      </x:c>
      <x:c r="B346" s="27" t="str">
        <x:v>葱绿葱</x:v>
      </x:c>
      <x:c r="C346" s="49" t="str">
        <x:v>燕云</x:v>
      </x:c>
      <x:c r="D346" s="49" t="str">
        <x:v>燕云</x:v>
      </x:c>
      <x:c r="E346" s="49" t="str">
        <x:v>留盟</x:v>
      </x:c>
      <x:c r="F346" s="49" t="str"/>
      <x:c r="G346" s="49"/>
      <x:c r="H346" s="37"/>
      <x:c r="I346" s="37"/>
      <x:c r="J346" s="40"/>
      <x:c r="K346" s="40"/>
      <x:c r="L346" s="40"/>
      <x:c r="M346" s="40"/>
      <x:c r="N346" s="40"/>
      <x:c r="O346" s="40"/>
      <x:c r="P346" s="40" t="str">
        <x:f>IF(COUNT(J346:O346)=0,"",SUM(J346:O346))</x:f>
      </x:c>
      <x:c r="Q346" s="40" t="n">
        <x:v>0</x:v>
      </x:c>
      <x:c r="R346" s="40" t="n">
        <x:v>31537931</x:v>
      </x:c>
      <x:c r="S346" s="40" t="n">
        <x:v>47405904</x:v>
      </x:c>
      <x:c r="T346" s="40" t="n">
        <x:v>0</x:v>
      </x:c>
      <x:c r="U346" s="40" t="n">
        <x:v>0</x:v>
      </x:c>
      <x:c r="V346" s="49" t="str">
        <x:v>28</x:v>
      </x:c>
      <x:c r="W346" s="49" t="n">
        <x:v>1</x:v>
      </x:c>
      <x:c r="X346" s="52" t="n">
        <x:f>ROUND(100*(0.4*LN(1+Q346)/LN(1+MAX($Q$5:$Q$395))+0.35*R346/MAX($R$5:$R$395)+0.15*S346/MAX($S$5:$S$395)+IF(P346="",0,0.1*P346/MAX($P$5:$P$395)))/IF(P346="",0.9,1),1)</x:f>
        <x:v>10.6</x:v>
      </x:c>
      <x:c r="Y346" s="49" t="n">
        <x:f>RANK.EQ(X346,$X$5:$X$395,0)</x:f>
        <x:v>342</x:v>
      </x:c>
      <x:c r="Z346" s="34" t="str">
        <x:v>保持当前盟，减少迁移成本</x:v>
      </x:c>
      <x:c r="AA346" s="55" t="str">
        <x:v>六维未匹配</x:v>
      </x:c>
    </x:row>
    <x:row r="347" ht="20" customHeight="1">
      <x:c r="A347" s="46" t="n">
        <x:v>359</x:v>
      </x:c>
      <x:c r="B347" s="27" t="str">
        <x:v>我不想要你的</x:v>
      </x:c>
      <x:c r="C347" s="49" t="str">
        <x:v>燕云</x:v>
      </x:c>
      <x:c r="D347" s="49" t="str">
        <x:v>燕云</x:v>
      </x:c>
      <x:c r="E347" s="49" t="str">
        <x:v>留盟</x:v>
      </x:c>
      <x:c r="F347" s="49" t="str"/>
      <x:c r="G347" s="49"/>
      <x:c r="H347" s="37"/>
      <x:c r="I347" s="37"/>
      <x:c r="J347" s="40"/>
      <x:c r="K347" s="40"/>
      <x:c r="L347" s="40"/>
      <x:c r="M347" s="40"/>
      <x:c r="N347" s="40"/>
      <x:c r="O347" s="40"/>
      <x:c r="P347" s="40" t="str">
        <x:f>IF(COUNT(J347:O347)=0,"",SUM(J347:O347))</x:f>
      </x:c>
      <x:c r="Q347" s="40" t="n">
        <x:v>0</x:v>
      </x:c>
      <x:c r="R347" s="40" t="n">
        <x:v>27576862</x:v>
      </x:c>
      <x:c r="S347" s="40" t="n">
        <x:v>37539301</x:v>
      </x:c>
      <x:c r="T347" s="40" t="n">
        <x:v>0</x:v>
      </x:c>
      <x:c r="U347" s="40" t="n">
        <x:v>8640</x:v>
      </x:c>
      <x:c r="V347" s="49" t="str">
        <x:v>27</x:v>
      </x:c>
      <x:c r="W347" s="49" t="n">
        <x:v>1</x:v>
      </x:c>
      <x:c r="X347" s="52" t="n">
        <x:f>ROUND(100*(0.4*LN(1+Q347)/LN(1+MAX($Q$5:$Q$395))+0.35*R347/MAX($R$5:$R$395)+0.15*S347/MAX($S$5:$S$395)+IF(P347="",0,0.1*P347/MAX($P$5:$P$395)))/IF(P347="",0.9,1),1)</x:f>
        <x:v>9.1</x:v>
      </x:c>
      <x:c r="Y347" s="49" t="n">
        <x:f>RANK.EQ(X347,$X$5:$X$395,0)</x:f>
        <x:v>343</x:v>
      </x:c>
      <x:c r="Z347" s="34" t="str">
        <x:v>保持当前盟，减少迁移成本</x:v>
      </x:c>
      <x:c r="AA347" s="55" t="str">
        <x:v>六维未匹配</x:v>
      </x:c>
    </x:row>
    <x:row r="348" ht="20" customHeight="1">
      <x:c r="A348" s="46" t="n">
        <x:v>353</x:v>
      </x:c>
      <x:c r="B348" s="27" t="str">
        <x:v>达芬奇</x:v>
      </x:c>
      <x:c r="C348" s="49" t="str">
        <x:v>燕云</x:v>
      </x:c>
      <x:c r="D348" s="49" t="str">
        <x:v>燕云</x:v>
      </x:c>
      <x:c r="E348" s="49" t="str">
        <x:v>留盟</x:v>
      </x:c>
      <x:c r="F348" s="49" t="str"/>
      <x:c r="G348" s="49"/>
      <x:c r="H348" s="37"/>
      <x:c r="I348" s="37"/>
      <x:c r="J348" s="40"/>
      <x:c r="K348" s="40"/>
      <x:c r="L348" s="40"/>
      <x:c r="M348" s="40"/>
      <x:c r="N348" s="40"/>
      <x:c r="O348" s="40"/>
      <x:c r="P348" s="40" t="str">
        <x:f>IF(COUNT(J348:O348)=0,"",SUM(J348:O348))</x:f>
      </x:c>
      <x:c r="Q348" s="40" t="n">
        <x:v>0</x:v>
      </x:c>
      <x:c r="R348" s="40" t="n">
        <x:v>26453793</x:v>
      </x:c>
      <x:c r="S348" s="40" t="n">
        <x:v>39484444</x:v>
      </x:c>
      <x:c r="T348" s="40" t="n">
        <x:v>0</x:v>
      </x:c>
      <x:c r="U348" s="40" t="n">
        <x:v>0</x:v>
      </x:c>
      <x:c r="V348" s="49" t="str">
        <x:v>25</x:v>
      </x:c>
      <x:c r="W348" s="49" t="n">
        <x:v>2</x:v>
      </x:c>
      <x:c r="X348" s="52" t="n">
        <x:f>ROUND(100*(0.4*LN(1+Q348)/LN(1+MAX($Q$5:$Q$395))+0.35*R348/MAX($R$5:$R$395)+0.15*S348/MAX($S$5:$S$395)+IF(P348="",0,0.1*P348/MAX($P$5:$P$395)))/IF(P348="",0.9,1),1)</x:f>
        <x:v>8.9</x:v>
      </x:c>
      <x:c r="Y348" s="49" t="n">
        <x:f>RANK.EQ(X348,$X$5:$X$395,0)</x:f>
        <x:v>344</x:v>
      </x:c>
      <x:c r="Z348" s="34" t="str">
        <x:v>保持当前盟，减少迁移成本</x:v>
      </x:c>
      <x:c r="AA348" s="55" t="str">
        <x:v>六维未匹配</x:v>
      </x:c>
    </x:row>
    <x:row r="349" ht="20" customHeight="1">
      <x:c r="A349" s="46" t="n">
        <x:v>391</x:v>
      </x:c>
      <x:c r="B349" s="27" t="str">
        <x:v>小青柠檬</x:v>
      </x:c>
      <x:c r="C349" s="49" t="str">
        <x:v>燕云</x:v>
      </x:c>
      <x:c r="D349" s="49" t="str">
        <x:v>燕云</x:v>
      </x:c>
      <x:c r="E349" s="49" t="str">
        <x:v>留盟</x:v>
      </x:c>
      <x:c r="F349" s="49" t="str"/>
      <x:c r="G349" s="49"/>
      <x:c r="H349" s="37"/>
      <x:c r="I349" s="37"/>
      <x:c r="J349" s="40"/>
      <x:c r="K349" s="40"/>
      <x:c r="L349" s="40"/>
      <x:c r="M349" s="40"/>
      <x:c r="N349" s="40"/>
      <x:c r="O349" s="40"/>
      <x:c r="P349" s="40" t="str">
        <x:f>IF(COUNT(J349:O349)=0,"",SUM(J349:O349))</x:f>
      </x:c>
      <x:c r="Q349" s="40" t="n">
        <x:v>0</x:v>
      </x:c>
      <x:c r="R349" s="40" t="n">
        <x:v>25979243</x:v>
      </x:c>
      <x:c r="S349" s="40" t="n">
        <x:v>39841262</x:v>
      </x:c>
      <x:c r="T349" s="40" t="n">
        <x:v>0</x:v>
      </x:c>
      <x:c r="U349" s="40" t="n">
        <x:v>7440</x:v>
      </x:c>
      <x:c r="V349" s="49" t="str">
        <x:v>26</x:v>
      </x:c>
      <x:c r="W349" s="49" t="n">
        <x:v>2</x:v>
      </x:c>
      <x:c r="X349" s="52" t="n">
        <x:f>ROUND(100*(0.4*LN(1+Q349)/LN(1+MAX($Q$5:$Q$395))+0.35*R349/MAX($R$5:$R$395)+0.15*S349/MAX($S$5:$S$395)+IF(P349="",0,0.1*P349/MAX($P$5:$P$395)))/IF(P349="",0.9,1),1)</x:f>
        <x:v>8.8</x:v>
      </x:c>
      <x:c r="Y349" s="49" t="n">
        <x:f>RANK.EQ(X349,$X$5:$X$395,0)</x:f>
        <x:v>345</x:v>
      </x:c>
      <x:c r="Z349" s="34" t="str">
        <x:v>保持当前盟，减少迁移成本</x:v>
      </x:c>
      <x:c r="AA349" s="55" t="str">
        <x:v>六维未匹配</x:v>
      </x:c>
    </x:row>
    <x:row r="350" ht="20" customHeight="1">
      <x:c r="A350" s="46" t="n">
        <x:v>371</x:v>
      </x:c>
      <x:c r="B350" s="27" t="str">
        <x:v>上海人</x:v>
      </x:c>
      <x:c r="C350" s="49" t="str">
        <x:v>燕云</x:v>
      </x:c>
      <x:c r="D350" s="49" t="str">
        <x:v>燕云</x:v>
      </x:c>
      <x:c r="E350" s="49" t="str">
        <x:v>留盟</x:v>
      </x:c>
      <x:c r="F350" s="49" t="str"/>
      <x:c r="G350" s="49"/>
      <x:c r="H350" s="37"/>
      <x:c r="I350" s="37"/>
      <x:c r="J350" s="40"/>
      <x:c r="K350" s="40"/>
      <x:c r="L350" s="40"/>
      <x:c r="M350" s="40"/>
      <x:c r="N350" s="40"/>
      <x:c r="O350" s="40"/>
      <x:c r="P350" s="40" t="str">
        <x:f>IF(COUNT(J350:O350)=0,"",SUM(J350:O350))</x:f>
      </x:c>
      <x:c r="Q350" s="40" t="n">
        <x:v>0</x:v>
      </x:c>
      <x:c r="R350" s="40" t="n">
        <x:v>25760838</x:v>
      </x:c>
      <x:c r="S350" s="40" t="n">
        <x:v>37170802</x:v>
      </x:c>
      <x:c r="T350" s="40" t="n">
        <x:v>0</x:v>
      </x:c>
      <x:c r="U350" s="40" t="n">
        <x:v>0</x:v>
      </x:c>
      <x:c r="V350" s="49" t="str">
        <x:v>28</x:v>
      </x:c>
      <x:c r="W350" s="49" t="n">
        <x:v>1</x:v>
      </x:c>
      <x:c r="X350" s="52" t="n">
        <x:f>ROUND(100*(0.4*LN(1+Q350)/LN(1+MAX($Q$5:$Q$395))+0.35*R350/MAX($R$5:$R$395)+0.15*S350/MAX($S$5:$S$395)+IF(P350="",0,0.1*P350/MAX($P$5:$P$395)))/IF(P350="",0.9,1),1)</x:f>
        <x:v>8.6</x:v>
      </x:c>
      <x:c r="Y350" s="49" t="n">
        <x:f>RANK.EQ(X350,$X$5:$X$395,0)</x:f>
        <x:v>346</x:v>
      </x:c>
      <x:c r="Z350" s="34" t="str">
        <x:v>保持当前盟，减少迁移成本</x:v>
      </x:c>
      <x:c r="AA350" s="55" t="str">
        <x:v>六维未匹配</x:v>
      </x:c>
    </x:row>
    <x:row r="351" ht="20" customHeight="1">
      <x:c r="A351" s="46" t="n">
        <x:v>350</x:v>
      </x:c>
      <x:c r="B351" s="27" t="str">
        <x:v>数一数</x:v>
      </x:c>
      <x:c r="C351" s="49" t="str">
        <x:v>燕云</x:v>
      </x:c>
      <x:c r="D351" s="49" t="str">
        <x:v>燕云</x:v>
      </x:c>
      <x:c r="E351" s="49" t="str">
        <x:v>留盟</x:v>
      </x:c>
      <x:c r="F351" s="49" t="str"/>
      <x:c r="G351" s="49"/>
      <x:c r="H351" s="37"/>
      <x:c r="I351" s="37"/>
      <x:c r="J351" s="40"/>
      <x:c r="K351" s="40"/>
      <x:c r="L351" s="40"/>
      <x:c r="M351" s="40"/>
      <x:c r="N351" s="40"/>
      <x:c r="O351" s="40"/>
      <x:c r="P351" s="40" t="str">
        <x:f>IF(COUNT(J351:O351)=0,"",SUM(J351:O351))</x:f>
      </x:c>
      <x:c r="Q351" s="40" t="n">
        <x:v>0</x:v>
      </x:c>
      <x:c r="R351" s="40" t="n">
        <x:v>23130860</x:v>
      </x:c>
      <x:c r="S351" s="40" t="n">
        <x:v>38670747</x:v>
      </x:c>
      <x:c r="T351" s="40" t="n">
        <x:v>0</x:v>
      </x:c>
      <x:c r="U351" s="40" t="n">
        <x:v>46800</x:v>
      </x:c>
      <x:c r="V351" s="49" t="str">
        <x:v>27</x:v>
      </x:c>
      <x:c r="W351" s="49" t="n">
        <x:v>2</x:v>
      </x:c>
      <x:c r="X351" s="52" t="n">
        <x:f>ROUND(100*(0.4*LN(1+Q351)/LN(1+MAX($Q$5:$Q$395))+0.35*R351/MAX($R$5:$R$395)+0.15*S351/MAX($S$5:$S$395)+IF(P351="",0,0.1*P351/MAX($P$5:$P$395)))/IF(P351="",0.9,1),1)</x:f>
        <x:v>7.9</x:v>
      </x:c>
      <x:c r="Y351" s="49" t="n">
        <x:f>RANK.EQ(X351,$X$5:$X$395,0)</x:f>
        <x:v>347</x:v>
      </x:c>
      <x:c r="Z351" s="34" t="str">
        <x:v>保持当前盟，减少迁移成本</x:v>
      </x:c>
      <x:c r="AA351" s="55" t="str">
        <x:v>六维未匹配</x:v>
      </x:c>
    </x:row>
    <x:row r="352" ht="20" customHeight="1">
      <x:c r="A352" s="46" t="n">
        <x:v>351</x:v>
      </x:c>
      <x:c r="B352" s="27" t="str">
        <x:v>涵公主</x:v>
      </x:c>
      <x:c r="C352" s="49" t="str">
        <x:v>燕云</x:v>
      </x:c>
      <x:c r="D352" s="49" t="str">
        <x:v>燕云</x:v>
      </x:c>
      <x:c r="E352" s="49" t="str">
        <x:v>留盟</x:v>
      </x:c>
      <x:c r="F352" s="49" t="str"/>
      <x:c r="G352" s="49"/>
      <x:c r="H352" s="37"/>
      <x:c r="I352" s="37"/>
      <x:c r="J352" s="40"/>
      <x:c r="K352" s="40"/>
      <x:c r="L352" s="40"/>
      <x:c r="M352" s="40"/>
      <x:c r="N352" s="40"/>
      <x:c r="O352" s="40"/>
      <x:c r="P352" s="40" t="str">
        <x:f>IF(COUNT(J352:O352)=0,"",SUM(J352:O352))</x:f>
      </x:c>
      <x:c r="Q352" s="40" t="n">
        <x:v>0</x:v>
      </x:c>
      <x:c r="R352" s="40" t="n">
        <x:v>23074615</x:v>
      </x:c>
      <x:c r="S352" s="40" t="n">
        <x:v>39158428</x:v>
      </x:c>
      <x:c r="T352" s="40" t="n">
        <x:v>0</x:v>
      </x:c>
      <x:c r="U352" s="40" t="n">
        <x:v>0</x:v>
      </x:c>
      <x:c r="V352" s="49" t="str">
        <x:v>28</x:v>
      </x:c>
      <x:c r="W352" s="49" t="n">
        <x:v>1</x:v>
      </x:c>
      <x:c r="X352" s="52" t="n">
        <x:f>ROUND(100*(0.4*LN(1+Q352)/LN(1+MAX($Q$5:$Q$395))+0.35*R352/MAX($R$5:$R$395)+0.15*S352/MAX($S$5:$S$395)+IF(P352="",0,0.1*P352/MAX($P$5:$P$395)))/IF(P352="",0.9,1),1)</x:f>
        <x:v>7.9</x:v>
      </x:c>
      <x:c r="Y352" s="49" t="n">
        <x:f>RANK.EQ(X352,$X$5:$X$395,0)</x:f>
        <x:v>347</x:v>
      </x:c>
      <x:c r="Z352" s="34" t="str">
        <x:v>保持当前盟，减少迁移成本</x:v>
      </x:c>
      <x:c r="AA352" s="55" t="str">
        <x:v>六维未匹配</x:v>
      </x:c>
    </x:row>
    <x:row r="353" ht="20" customHeight="1">
      <x:c r="A353" s="46" t="n">
        <x:v>355</x:v>
      </x:c>
      <x:c r="B353" s="27" t="str">
        <x:v>莱菔子</x:v>
      </x:c>
      <x:c r="C353" s="49" t="str">
        <x:v>燕云</x:v>
      </x:c>
      <x:c r="D353" s="49" t="str">
        <x:v>燕云</x:v>
      </x:c>
      <x:c r="E353" s="49" t="str">
        <x:v>留盟</x:v>
      </x:c>
      <x:c r="F353" s="49" t="str"/>
      <x:c r="G353" s="49"/>
      <x:c r="H353" s="37"/>
      <x:c r="I353" s="37"/>
      <x:c r="J353" s="40"/>
      <x:c r="K353" s="40"/>
      <x:c r="L353" s="40"/>
      <x:c r="M353" s="40"/>
      <x:c r="N353" s="40"/>
      <x:c r="O353" s="40"/>
      <x:c r="P353" s="40" t="str">
        <x:f>IF(COUNT(J353:O353)=0,"",SUM(J353:O353))</x:f>
      </x:c>
      <x:c r="Q353" s="40" t="n">
        <x:v>0</x:v>
      </x:c>
      <x:c r="R353" s="40" t="n">
        <x:v>21812091</x:v>
      </x:c>
      <x:c r="S353" s="40" t="n">
        <x:v>33168315</x:v>
      </x:c>
      <x:c r="T353" s="40" t="n">
        <x:v>0</x:v>
      </x:c>
      <x:c r="U353" s="40" t="n">
        <x:v>0</x:v>
      </x:c>
      <x:c r="V353" s="49" t="str">
        <x:v>26</x:v>
      </x:c>
      <x:c r="W353" s="49" t="n">
        <x:v>1</x:v>
      </x:c>
      <x:c r="X353" s="52" t="n">
        <x:f>ROUND(100*(0.4*LN(1+Q353)/LN(1+MAX($Q$5:$Q$395))+0.35*R353/MAX($R$5:$R$395)+0.15*S353/MAX($S$5:$S$395)+IF(P353="",0,0.1*P353/MAX($P$5:$P$395)))/IF(P353="",0.9,1),1)</x:f>
        <x:v>7.3</x:v>
      </x:c>
      <x:c r="Y353" s="49" t="n">
        <x:f>RANK.EQ(X353,$X$5:$X$395,0)</x:f>
        <x:v>349</x:v>
      </x:c>
      <x:c r="Z353" s="34" t="str">
        <x:v>保持当前盟，减少迁移成本</x:v>
      </x:c>
      <x:c r="AA353" s="55" t="str">
        <x:v>六维未匹配</x:v>
      </x:c>
    </x:row>
    <x:row r="354" ht="20" customHeight="1">
      <x:c r="A354" s="46" t="n">
        <x:v>343</x:v>
      </x:c>
      <x:c r="B354" s="27" t="str">
        <x:v>一一一一一一一一</x:v>
      </x:c>
      <x:c r="C354" s="49" t="str">
        <x:v>燕云</x:v>
      </x:c>
      <x:c r="D354" s="49" t="str">
        <x:v>燕云</x:v>
      </x:c>
      <x:c r="E354" s="49" t="str">
        <x:v>留盟</x:v>
      </x:c>
      <x:c r="F354" s="49" t="str"/>
      <x:c r="G354" s="49"/>
      <x:c r="H354" s="37"/>
      <x:c r="I354" s="37"/>
      <x:c r="J354" s="40"/>
      <x:c r="K354" s="40"/>
      <x:c r="L354" s="40"/>
      <x:c r="M354" s="40"/>
      <x:c r="N354" s="40"/>
      <x:c r="O354" s="40"/>
      <x:c r="P354" s="40" t="str">
        <x:f>IF(COUNT(J354:O354)=0,"",SUM(J354:O354))</x:f>
      </x:c>
      <x:c r="Q354" s="40" t="n">
        <x:v>0</x:v>
      </x:c>
      <x:c r="R354" s="40" t="n">
        <x:v>21473136</x:v>
      </x:c>
      <x:c r="S354" s="40" t="n">
        <x:v>30010141</x:v>
      </x:c>
      <x:c r="T354" s="40" t="n">
        <x:v>0</x:v>
      </x:c>
      <x:c r="U354" s="40" t="n">
        <x:v>0</x:v>
      </x:c>
      <x:c r="V354" s="49" t="str">
        <x:v>28</x:v>
      </x:c>
      <x:c r="W354" s="49" t="n">
        <x:v>1</x:v>
      </x:c>
      <x:c r="X354" s="52" t="n">
        <x:f>ROUND(100*(0.4*LN(1+Q354)/LN(1+MAX($Q$5:$Q$395))+0.35*R354/MAX($R$5:$R$395)+0.15*S354/MAX($S$5:$S$395)+IF(P354="",0,0.1*P354/MAX($P$5:$P$395)))/IF(P354="",0.9,1),1)</x:f>
        <x:v>7.1</x:v>
      </x:c>
      <x:c r="Y354" s="49" t="n">
        <x:f>RANK.EQ(X354,$X$5:$X$395,0)</x:f>
        <x:v>350</x:v>
      </x:c>
      <x:c r="Z354" s="34" t="str">
        <x:v>保持当前盟，减少迁移成本</x:v>
      </x:c>
      <x:c r="AA354" s="55" t="str">
        <x:v>六维未匹配</x:v>
      </x:c>
    </x:row>
    <x:row r="355" ht="20" customHeight="1">
      <x:c r="A355" s="46" t="n">
        <x:v>379</x:v>
      </x:c>
      <x:c r="B355" s="27" t="str">
        <x:v>橘卿悦</x:v>
      </x:c>
      <x:c r="C355" s="49" t="str">
        <x:v>燕云</x:v>
      </x:c>
      <x:c r="D355" s="49" t="str">
        <x:v>燕云</x:v>
      </x:c>
      <x:c r="E355" s="49" t="str">
        <x:v>留盟</x:v>
      </x:c>
      <x:c r="F355" s="49" t="str"/>
      <x:c r="G355" s="49"/>
      <x:c r="H355" s="37"/>
      <x:c r="I355" s="37"/>
      <x:c r="J355" s="40"/>
      <x:c r="K355" s="40"/>
      <x:c r="L355" s="40"/>
      <x:c r="M355" s="40"/>
      <x:c r="N355" s="40"/>
      <x:c r="O355" s="40"/>
      <x:c r="P355" s="40" t="str">
        <x:f>IF(COUNT(J355:O355)=0,"",SUM(J355:O355))</x:f>
      </x:c>
      <x:c r="Q355" s="40" t="n">
        <x:v>0</x:v>
      </x:c>
      <x:c r="R355" s="40" t="n">
        <x:v>20577305</x:v>
      </x:c>
      <x:c r="S355" s="40" t="n">
        <x:v>33186318</x:v>
      </x:c>
      <x:c r="T355" s="40" t="n">
        <x:v>0</x:v>
      </x:c>
      <x:c r="U355" s="40" t="n">
        <x:v>42480</x:v>
      </x:c>
      <x:c r="V355" s="49" t="str">
        <x:v>28</x:v>
      </x:c>
      <x:c r="W355" s="49" t="n">
        <x:v>2</x:v>
      </x:c>
      <x:c r="X355" s="52" t="n">
        <x:f>ROUND(100*(0.4*LN(1+Q355)/LN(1+MAX($Q$5:$Q$395))+0.35*R355/MAX($R$5:$R$395)+0.15*S355/MAX($S$5:$S$395)+IF(P355="",0,0.1*P355/MAX($P$5:$P$395)))/IF(P355="",0.9,1),1)</x:f>
        <x:v>7</x:v>
      </x:c>
      <x:c r="Y355" s="49" t="n">
        <x:f>RANK.EQ(X355,$X$5:$X$395,0)</x:f>
        <x:v>351</x:v>
      </x:c>
      <x:c r="Z355" s="34" t="str">
        <x:v>保持当前盟，减少迁移成本</x:v>
      </x:c>
      <x:c r="AA355" s="55" t="str">
        <x:v>六维未匹配</x:v>
      </x:c>
    </x:row>
    <x:row r="356" ht="20" customHeight="1">
      <x:c r="A356" s="46" t="n">
        <x:v>341</x:v>
      </x:c>
      <x:c r="B356" s="27" t="str">
        <x:v>巴丹吉林</x:v>
      </x:c>
      <x:c r="C356" s="49" t="str">
        <x:v>燕云</x:v>
      </x:c>
      <x:c r="D356" s="49" t="str">
        <x:v>燕云</x:v>
      </x:c>
      <x:c r="E356" s="49" t="str">
        <x:v>留盟</x:v>
      </x:c>
      <x:c r="F356" s="49" t="str"/>
      <x:c r="G356" s="49"/>
      <x:c r="H356" s="37"/>
      <x:c r="I356" s="37"/>
      <x:c r="J356" s="40"/>
      <x:c r="K356" s="40"/>
      <x:c r="L356" s="40"/>
      <x:c r="M356" s="40"/>
      <x:c r="N356" s="40"/>
      <x:c r="O356" s="40"/>
      <x:c r="P356" s="40" t="str">
        <x:f>IF(COUNT(J356:O356)=0,"",SUM(J356:O356))</x:f>
      </x:c>
      <x:c r="Q356" s="40" t="n">
        <x:v>0</x:v>
      </x:c>
      <x:c r="R356" s="40" t="n">
        <x:v>19953517</x:v>
      </x:c>
      <x:c r="S356" s="40" t="n">
        <x:v>35798746</x:v>
      </x:c>
      <x:c r="T356" s="40" t="n">
        <x:v>0</x:v>
      </x:c>
      <x:c r="U356" s="40" t="n">
        <x:v>0</x:v>
      </x:c>
      <x:c r="V356" s="49" t="str">
        <x:v>26</x:v>
      </x:c>
      <x:c r="W356" s="49" t="n">
        <x:v>1</x:v>
      </x:c>
      <x:c r="X356" s="52" t="n">
        <x:f>ROUND(100*(0.4*LN(1+Q356)/LN(1+MAX($Q$5:$Q$395))+0.35*R356/MAX($R$5:$R$395)+0.15*S356/MAX($S$5:$S$395)+IF(P356="",0,0.1*P356/MAX($P$5:$P$395)))/IF(P356="",0.9,1),1)</x:f>
        <x:v>6.9</x:v>
      </x:c>
      <x:c r="Y356" s="49" t="n">
        <x:f>RANK.EQ(X356,$X$5:$X$395,0)</x:f>
        <x:v>352</x:v>
      </x:c>
      <x:c r="Z356" s="34" t="str">
        <x:v>保持当前盟，减少迁移成本</x:v>
      </x:c>
      <x:c r="AA356" s="55" t="str">
        <x:v>六维未匹配</x:v>
      </x:c>
    </x:row>
    <x:row r="357" ht="20" customHeight="1">
      <x:c r="A357" s="46" t="n">
        <x:v>372</x:v>
      </x:c>
      <x:c r="B357" s="27" t="str">
        <x:v>梦回三国戏貂蝉</x:v>
      </x:c>
      <x:c r="C357" s="49" t="str">
        <x:v>燕云</x:v>
      </x:c>
      <x:c r="D357" s="49" t="str">
        <x:v>燕云</x:v>
      </x:c>
      <x:c r="E357" s="49" t="str">
        <x:v>留盟</x:v>
      </x:c>
      <x:c r="F357" s="49" t="str"/>
      <x:c r="G357" s="49"/>
      <x:c r="H357" s="37"/>
      <x:c r="I357" s="37"/>
      <x:c r="J357" s="40"/>
      <x:c r="K357" s="40"/>
      <x:c r="L357" s="40"/>
      <x:c r="M357" s="40"/>
      <x:c r="N357" s="40"/>
      <x:c r="O357" s="40"/>
      <x:c r="P357" s="40" t="str">
        <x:f>IF(COUNT(J357:O357)=0,"",SUM(J357:O357))</x:f>
      </x:c>
      <x:c r="Q357" s="40" t="n">
        <x:v>0</x:v>
      </x:c>
      <x:c r="R357" s="40" t="n">
        <x:v>17569351</x:v>
      </x:c>
      <x:c r="S357" s="40" t="n">
        <x:v>22115002</x:v>
      </x:c>
      <x:c r="T357" s="40" t="n">
        <x:v>0</x:v>
      </x:c>
      <x:c r="U357" s="40" t="n">
        <x:v>0</x:v>
      </x:c>
      <x:c r="V357" s="49" t="str">
        <x:v>25</x:v>
      </x:c>
      <x:c r="W357" s="49" t="n">
        <x:v>1</x:v>
      </x:c>
      <x:c r="X357" s="52" t="n">
        <x:f>ROUND(100*(0.4*LN(1+Q357)/LN(1+MAX($Q$5:$Q$395))+0.35*R357/MAX($R$5:$R$395)+0.15*S357/MAX($S$5:$S$395)+IF(P357="",0,0.1*P357/MAX($P$5:$P$395)))/IF(P357="",0.9,1),1)</x:f>
        <x:v>5.8</x:v>
      </x:c>
      <x:c r="Y357" s="49" t="n">
        <x:f>RANK.EQ(X357,$X$5:$X$395,0)</x:f>
        <x:v>353</x:v>
      </x:c>
      <x:c r="Z357" s="34" t="str">
        <x:v>保持当前盟，减少迁移成本</x:v>
      </x:c>
      <x:c r="AA357" s="55" t="str">
        <x:v>六维未匹配</x:v>
      </x:c>
    </x:row>
    <x:row r="358" ht="20" customHeight="1">
      <x:c r="A358" s="46" t="n">
        <x:v>382</x:v>
      </x:c>
      <x:c r="B358" s="27" t="str">
        <x:v>祈愿星</x:v>
      </x:c>
      <x:c r="C358" s="49" t="str">
        <x:v>燕云</x:v>
      </x:c>
      <x:c r="D358" s="49" t="str">
        <x:v>燕云</x:v>
      </x:c>
      <x:c r="E358" s="49" t="str">
        <x:v>留盟</x:v>
      </x:c>
      <x:c r="F358" s="49" t="str"/>
      <x:c r="G358" s="49"/>
      <x:c r="H358" s="37"/>
      <x:c r="I358" s="37"/>
      <x:c r="J358" s="40"/>
      <x:c r="K358" s="40"/>
      <x:c r="L358" s="40"/>
      <x:c r="M358" s="40"/>
      <x:c r="N358" s="40"/>
      <x:c r="O358" s="40"/>
      <x:c r="P358" s="40" t="str">
        <x:f>IF(COUNT(J358:O358)=0,"",SUM(J358:O358))</x:f>
      </x:c>
      <x:c r="Q358" s="40" t="n">
        <x:v>0</x:v>
      </x:c>
      <x:c r="R358" s="40" t="n">
        <x:v>16982093</x:v>
      </x:c>
      <x:c r="S358" s="40" t="n">
        <x:v>24123330</x:v>
      </x:c>
      <x:c r="T358" s="40" t="n">
        <x:v>0</x:v>
      </x:c>
      <x:c r="U358" s="40" t="n">
        <x:v>0</x:v>
      </x:c>
      <x:c r="V358" s="49" t="str">
        <x:v>27</x:v>
      </x:c>
      <x:c r="W358" s="49" t="n">
        <x:v>2</x:v>
      </x:c>
      <x:c r="X358" s="52" t="n">
        <x:f>ROUND(100*(0.4*LN(1+Q358)/LN(1+MAX($Q$5:$Q$395))+0.35*R358/MAX($R$5:$R$395)+0.15*S358/MAX($S$5:$S$395)+IF(P358="",0,0.1*P358/MAX($P$5:$P$395)))/IF(P358="",0.9,1),1)</x:f>
        <x:v>5.7</x:v>
      </x:c>
      <x:c r="Y358" s="49" t="n">
        <x:f>RANK.EQ(X358,$X$5:$X$395,0)</x:f>
        <x:v>354</x:v>
      </x:c>
      <x:c r="Z358" s="34" t="str">
        <x:v>保持当前盟，减少迁移成本</x:v>
      </x:c>
      <x:c r="AA358" s="55" t="str">
        <x:v>六维未匹配</x:v>
      </x:c>
    </x:row>
    <x:row r="359" ht="20" customHeight="1">
      <x:c r="A359" s="46" t="n">
        <x:v>335</x:v>
      </x:c>
      <x:c r="B359" s="27" t="str">
        <x:v>诶你这个</x:v>
      </x:c>
      <x:c r="C359" s="49" t="str">
        <x:v>燕云</x:v>
      </x:c>
      <x:c r="D359" s="49" t="str">
        <x:v>燕云</x:v>
      </x:c>
      <x:c r="E359" s="49" t="str">
        <x:v>留盟</x:v>
      </x:c>
      <x:c r="F359" s="49" t="str"/>
      <x:c r="G359" s="49"/>
      <x:c r="H359" s="37"/>
      <x:c r="I359" s="37"/>
      <x:c r="J359" s="40"/>
      <x:c r="K359" s="40"/>
      <x:c r="L359" s="40"/>
      <x:c r="M359" s="40"/>
      <x:c r="N359" s="40"/>
      <x:c r="O359" s="40"/>
      <x:c r="P359" s="40" t="str">
        <x:f>IF(COUNT(J359:O359)=0,"",SUM(J359:O359))</x:f>
      </x:c>
      <x:c r="Q359" s="40" t="n">
        <x:v>0</x:v>
      </x:c>
      <x:c r="R359" s="40" t="n">
        <x:v>16853631</x:v>
      </x:c>
      <x:c r="S359" s="40" t="n">
        <x:v>21560280</x:v>
      </x:c>
      <x:c r="T359" s="40" t="n">
        <x:v>0</x:v>
      </x:c>
      <x:c r="U359" s="40" t="n">
        <x:v>54720</x:v>
      </x:c>
      <x:c r="V359" s="49" t="str">
        <x:v>28</x:v>
      </x:c>
      <x:c r="W359" s="49" t="n">
        <x:v>2</x:v>
      </x:c>
      <x:c r="X359" s="52" t="n">
        <x:f>ROUND(100*(0.4*LN(1+Q359)/LN(1+MAX($Q$5:$Q$395))+0.35*R359/MAX($R$5:$R$395)+0.15*S359/MAX($S$5:$S$395)+IF(P359="",0,0.1*P359/MAX($P$5:$P$395)))/IF(P359="",0.9,1),1)</x:f>
        <x:v>5.5</x:v>
      </x:c>
      <x:c r="Y359" s="49" t="n">
        <x:f>RANK.EQ(X359,$X$5:$X$395,0)</x:f>
        <x:v>355</x:v>
      </x:c>
      <x:c r="Z359" s="34" t="str">
        <x:v>保持当前盟，减少迁移成本</x:v>
      </x:c>
      <x:c r="AA359" s="55" t="str">
        <x:v>六维未匹配</x:v>
      </x:c>
    </x:row>
    <x:row r="360" ht="20" customHeight="1">
      <x:c r="A360" s="46" t="n">
        <x:v>344</x:v>
      </x:c>
      <x:c r="B360" s="27" t="str">
        <x:v>西李楼帝国</x:v>
      </x:c>
      <x:c r="C360" s="49" t="str">
        <x:v>燕云</x:v>
      </x:c>
      <x:c r="D360" s="49" t="str">
        <x:v>燕云</x:v>
      </x:c>
      <x:c r="E360" s="49" t="str">
        <x:v>留盟</x:v>
      </x:c>
      <x:c r="F360" s="49" t="str"/>
      <x:c r="G360" s="49"/>
      <x:c r="H360" s="37"/>
      <x:c r="I360" s="37"/>
      <x:c r="J360" s="40"/>
      <x:c r="K360" s="40"/>
      <x:c r="L360" s="40"/>
      <x:c r="M360" s="40"/>
      <x:c r="N360" s="40"/>
      <x:c r="O360" s="40"/>
      <x:c r="P360" s="40" t="str">
        <x:f>IF(COUNT(J360:O360)=0,"",SUM(J360:O360))</x:f>
      </x:c>
      <x:c r="Q360" s="40" t="n">
        <x:v>0</x:v>
      </x:c>
      <x:c r="R360" s="40" t="n">
        <x:v>14657719</x:v>
      </x:c>
      <x:c r="S360" s="40" t="n">
        <x:v>20505026</x:v>
      </x:c>
      <x:c r="T360" s="40" t="n">
        <x:v>0</x:v>
      </x:c>
      <x:c r="U360" s="40" t="n">
        <x:v>0</x:v>
      </x:c>
      <x:c r="V360" s="49" t="str">
        <x:v>27</x:v>
      </x:c>
      <x:c r="W360" s="49" t="n">
        <x:v>1</x:v>
      </x:c>
      <x:c r="X360" s="52" t="n">
        <x:f>ROUND(100*(0.4*LN(1+Q360)/LN(1+MAX($Q$5:$Q$395))+0.35*R360/MAX($R$5:$R$395)+0.15*S360/MAX($S$5:$S$395)+IF(P360="",0,0.1*P360/MAX($P$5:$P$395)))/IF(P360="",0.9,1),1)</x:f>
        <x:v>4.9</x:v>
      </x:c>
      <x:c r="Y360" s="49" t="n">
        <x:f>RANK.EQ(X360,$X$5:$X$395,0)</x:f>
        <x:v>356</x:v>
      </x:c>
      <x:c r="Z360" s="34" t="str">
        <x:v>保持当前盟，减少迁移成本</x:v>
      </x:c>
      <x:c r="AA360" s="55" t="str">
        <x:v>六维未匹配</x:v>
      </x:c>
    </x:row>
    <x:row r="361" ht="20" customHeight="1">
      <x:c r="A361" s="46" t="n">
        <x:v>387</x:v>
      </x:c>
      <x:c r="B361" s="27" t="str">
        <x:v>星火璀璨</x:v>
      </x:c>
      <x:c r="C361" s="49" t="str">
        <x:v>燕云</x:v>
      </x:c>
      <x:c r="D361" s="49" t="str">
        <x:v>燕云</x:v>
      </x:c>
      <x:c r="E361" s="49" t="str">
        <x:v>留盟</x:v>
      </x:c>
      <x:c r="F361" s="49" t="str"/>
      <x:c r="G361" s="49"/>
      <x:c r="H361" s="37"/>
      <x:c r="I361" s="37"/>
      <x:c r="J361" s="40"/>
      <x:c r="K361" s="40"/>
      <x:c r="L361" s="40"/>
      <x:c r="M361" s="40"/>
      <x:c r="N361" s="40"/>
      <x:c r="O361" s="40"/>
      <x:c r="P361" s="40" t="str">
        <x:f>IF(COUNT(J361:O361)=0,"",SUM(J361:O361))</x:f>
      </x:c>
      <x:c r="Q361" s="40" t="n">
        <x:v>0</x:v>
      </x:c>
      <x:c r="R361" s="40" t="n">
        <x:v>13758472</x:v>
      </x:c>
      <x:c r="S361" s="40" t="n">
        <x:v>20164115</x:v>
      </x:c>
      <x:c r="T361" s="40" t="n">
        <x:v>0</x:v>
      </x:c>
      <x:c r="U361" s="40" t="n">
        <x:v>13680</x:v>
      </x:c>
      <x:c r="V361" s="49" t="str">
        <x:v>26</x:v>
      </x:c>
      <x:c r="W361" s="49" t="n">
        <x:v>2</x:v>
      </x:c>
      <x:c r="X361" s="52" t="n">
        <x:f>ROUND(100*(0.4*LN(1+Q361)/LN(1+MAX($Q$5:$Q$395))+0.35*R361/MAX($R$5:$R$395)+0.15*S361/MAX($S$5:$S$395)+IF(P361="",0,0.1*P361/MAX($P$5:$P$395)))/IF(P361="",0.9,1),1)</x:f>
        <x:v>4.6</x:v>
      </x:c>
      <x:c r="Y361" s="49" t="n">
        <x:f>RANK.EQ(X361,$X$5:$X$395,0)</x:f>
        <x:v>357</x:v>
      </x:c>
      <x:c r="Z361" s="34" t="str">
        <x:v>保持当前盟，减少迁移成本</x:v>
      </x:c>
      <x:c r="AA361" s="55" t="str">
        <x:v>六维未匹配</x:v>
      </x:c>
    </x:row>
    <x:row r="362" ht="20" customHeight="1">
      <x:c r="A362" s="46" t="n">
        <x:v>365</x:v>
      </x:c>
      <x:c r="B362" s="27" t="str">
        <x:v>江南北国</x:v>
      </x:c>
      <x:c r="C362" s="49" t="str">
        <x:v>燕云</x:v>
      </x:c>
      <x:c r="D362" s="49" t="str">
        <x:v>燕云</x:v>
      </x:c>
      <x:c r="E362" s="49" t="str">
        <x:v>留盟</x:v>
      </x:c>
      <x:c r="F362" s="49" t="str"/>
      <x:c r="G362" s="49"/>
      <x:c r="H362" s="37"/>
      <x:c r="I362" s="37"/>
      <x:c r="J362" s="40"/>
      <x:c r="K362" s="40"/>
      <x:c r="L362" s="40"/>
      <x:c r="M362" s="40"/>
      <x:c r="N362" s="40"/>
      <x:c r="O362" s="40"/>
      <x:c r="P362" s="40" t="str">
        <x:f>IF(COUNT(J362:O362)=0,"",SUM(J362:O362))</x:f>
      </x:c>
      <x:c r="Q362" s="40" t="n">
        <x:v>0</x:v>
      </x:c>
      <x:c r="R362" s="40" t="n">
        <x:v>13040586</x:v>
      </x:c>
      <x:c r="S362" s="40" t="n">
        <x:v>19890983</x:v>
      </x:c>
      <x:c r="T362" s="40" t="n">
        <x:v>0</x:v>
      </x:c>
      <x:c r="U362" s="40" t="n">
        <x:v>6480</x:v>
      </x:c>
      <x:c r="V362" s="49" t="str">
        <x:v>25</x:v>
      </x:c>
      <x:c r="W362" s="49" t="n">
        <x:v>2</x:v>
      </x:c>
      <x:c r="X362" s="52" t="n">
        <x:f>ROUND(100*(0.4*LN(1+Q362)/LN(1+MAX($Q$5:$Q$395))+0.35*R362/MAX($R$5:$R$395)+0.15*S362/MAX($S$5:$S$395)+IF(P362="",0,0.1*P362/MAX($P$5:$P$395)))/IF(P362="",0.9,1),1)</x:f>
        <x:v>4.4</x:v>
      </x:c>
      <x:c r="Y362" s="49" t="n">
        <x:f>RANK.EQ(X362,$X$5:$X$395,0)</x:f>
        <x:v>358</x:v>
      </x:c>
      <x:c r="Z362" s="34" t="str">
        <x:v>保持当前盟，减少迁移成本</x:v>
      </x:c>
      <x:c r="AA362" s="55" t="str">
        <x:v>六维未匹配</x:v>
      </x:c>
    </x:row>
    <x:row r="363" ht="20" customHeight="1">
      <x:c r="A363" s="46" t="n">
        <x:v>340</x:v>
      </x:c>
      <x:c r="B363" s="27" t="str">
        <x:v>取名太难</x:v>
      </x:c>
      <x:c r="C363" s="49" t="str">
        <x:v>燕云</x:v>
      </x:c>
      <x:c r="D363" s="49" t="str">
        <x:v>燕云</x:v>
      </x:c>
      <x:c r="E363" s="49" t="str">
        <x:v>留盟</x:v>
      </x:c>
      <x:c r="F363" s="49" t="str"/>
      <x:c r="G363" s="49"/>
      <x:c r="H363" s="37"/>
      <x:c r="I363" s="37"/>
      <x:c r="J363" s="40"/>
      <x:c r="K363" s="40"/>
      <x:c r="L363" s="40"/>
      <x:c r="M363" s="40"/>
      <x:c r="N363" s="40"/>
      <x:c r="O363" s="40"/>
      <x:c r="P363" s="40" t="str">
        <x:f>IF(COUNT(J363:O363)=0,"",SUM(J363:O363))</x:f>
      </x:c>
      <x:c r="Q363" s="40" t="n">
        <x:v>0</x:v>
      </x:c>
      <x:c r="R363" s="40" t="n">
        <x:v>11422722</x:v>
      </x:c>
      <x:c r="S363" s="40" t="n">
        <x:v>18184660</x:v>
      </x:c>
      <x:c r="T363" s="40" t="n">
        <x:v>0</x:v>
      </x:c>
      <x:c r="U363" s="40" t="n">
        <x:v>0</x:v>
      </x:c>
      <x:c r="V363" s="49" t="str">
        <x:v>25</x:v>
      </x:c>
      <x:c r="W363" s="49" t="n">
        <x:v>1</x:v>
      </x:c>
      <x:c r="X363" s="52" t="n">
        <x:f>ROUND(100*(0.4*LN(1+Q363)/LN(1+MAX($Q$5:$Q$395))+0.35*R363/MAX($R$5:$R$395)+0.15*S363/MAX($S$5:$S$395)+IF(P363="",0,0.1*P363/MAX($P$5:$P$395)))/IF(P363="",0.9,1),1)</x:f>
        <x:v>3.9</x:v>
      </x:c>
      <x:c r="Y363" s="49" t="n">
        <x:f>RANK.EQ(X363,$X$5:$X$395,0)</x:f>
        <x:v>359</x:v>
      </x:c>
      <x:c r="Z363" s="34" t="str">
        <x:v>保持当前盟，减少迁移成本</x:v>
      </x:c>
      <x:c r="AA363" s="55" t="str">
        <x:v>六维未匹配</x:v>
      </x:c>
    </x:row>
    <x:row r="364" ht="20" customHeight="1">
      <x:c r="A364" s="46" t="n">
        <x:v>348</x:v>
      </x:c>
      <x:c r="B364" s="27" t="str">
        <x:v>大头贴</x:v>
      </x:c>
      <x:c r="C364" s="49" t="str">
        <x:v>燕云</x:v>
      </x:c>
      <x:c r="D364" s="49" t="str">
        <x:v>燕云</x:v>
      </x:c>
      <x:c r="E364" s="49" t="str">
        <x:v>留盟</x:v>
      </x:c>
      <x:c r="F364" s="49" t="str"/>
      <x:c r="G364" s="49"/>
      <x:c r="H364" s="37"/>
      <x:c r="I364" s="37"/>
      <x:c r="J364" s="40"/>
      <x:c r="K364" s="40"/>
      <x:c r="L364" s="40"/>
      <x:c r="M364" s="40"/>
      <x:c r="N364" s="40"/>
      <x:c r="O364" s="40"/>
      <x:c r="P364" s="40" t="str">
        <x:f>IF(COUNT(J364:O364)=0,"",SUM(J364:O364))</x:f>
      </x:c>
      <x:c r="Q364" s="40" t="n">
        <x:v>0</x:v>
      </x:c>
      <x:c r="R364" s="40" t="n">
        <x:v>11272226</x:v>
      </x:c>
      <x:c r="S364" s="40" t="n">
        <x:v>16590787</x:v>
      </x:c>
      <x:c r="T364" s="40" t="n">
        <x:v>0</x:v>
      </x:c>
      <x:c r="U364" s="40" t="n">
        <x:v>0</x:v>
      </x:c>
      <x:c r="V364" s="49" t="str">
        <x:v>18</x:v>
      </x:c>
      <x:c r="W364" s="49" t="n">
        <x:v>1</x:v>
      </x:c>
      <x:c r="X364" s="52" t="n">
        <x:f>ROUND(100*(0.4*LN(1+Q364)/LN(1+MAX($Q$5:$Q$395))+0.35*R364/MAX($R$5:$R$395)+0.15*S364/MAX($S$5:$S$395)+IF(P364="",0,0.1*P364/MAX($P$5:$P$395)))/IF(P364="",0.9,1),1)</x:f>
        <x:v>3.8</x:v>
      </x:c>
      <x:c r="Y364" s="49" t="n">
        <x:f>RANK.EQ(X364,$X$5:$X$395,0)</x:f>
        <x:v>360</x:v>
      </x:c>
      <x:c r="Z364" s="34" t="str">
        <x:v>保持当前盟，减少迁移成本</x:v>
      </x:c>
      <x:c r="AA364" s="55" t="str">
        <x:v>六维未匹配</x:v>
      </x:c>
    </x:row>
    <x:row r="365" ht="20" customHeight="1">
      <x:c r="A365" s="46" t="n">
        <x:v>337</x:v>
      </x:c>
      <x:c r="B365" s="27" t="str">
        <x:v>吕布灬</x:v>
      </x:c>
      <x:c r="C365" s="49" t="str">
        <x:v>燕云</x:v>
      </x:c>
      <x:c r="D365" s="49" t="str">
        <x:v>燕云</x:v>
      </x:c>
      <x:c r="E365" s="49" t="str">
        <x:v>留盟</x:v>
      </x:c>
      <x:c r="F365" s="49" t="str"/>
      <x:c r="G365" s="49"/>
      <x:c r="H365" s="37"/>
      <x:c r="I365" s="37"/>
      <x:c r="J365" s="40"/>
      <x:c r="K365" s="40"/>
      <x:c r="L365" s="40"/>
      <x:c r="M365" s="40"/>
      <x:c r="N365" s="40"/>
      <x:c r="O365" s="40"/>
      <x:c r="P365" s="40" t="str">
        <x:f>IF(COUNT(J365:O365)=0,"",SUM(J365:O365))</x:f>
      </x:c>
      <x:c r="Q365" s="40" t="n">
        <x:v>0</x:v>
      </x:c>
      <x:c r="R365" s="40" t="n">
        <x:v>10918084</x:v>
      </x:c>
      <x:c r="S365" s="40" t="n">
        <x:v>13534406</x:v>
      </x:c>
      <x:c r="T365" s="40" t="n">
        <x:v>0</x:v>
      </x:c>
      <x:c r="U365" s="40" t="n">
        <x:v>0</x:v>
      </x:c>
      <x:c r="V365" s="49" t="str">
        <x:v>25</x:v>
      </x:c>
      <x:c r="W365" s="49" t="n">
        <x:v>1</x:v>
      </x:c>
      <x:c r="X365" s="52" t="n">
        <x:f>ROUND(100*(0.4*LN(1+Q365)/LN(1+MAX($Q$5:$Q$395))+0.35*R365/MAX($R$5:$R$395)+0.15*S365/MAX($S$5:$S$395)+IF(P365="",0,0.1*P365/MAX($P$5:$P$395)))/IF(P365="",0.9,1),1)</x:f>
        <x:v>3.6</x:v>
      </x:c>
      <x:c r="Y365" s="49" t="n">
        <x:f>RANK.EQ(X365,$X$5:$X$395,0)</x:f>
        <x:v>361</x:v>
      </x:c>
      <x:c r="Z365" s="34" t="str">
        <x:v>保持当前盟，减少迁移成本</x:v>
      </x:c>
      <x:c r="AA365" s="55" t="str">
        <x:v>六维未匹配</x:v>
      </x:c>
    </x:row>
    <x:row r="366" ht="20" customHeight="1">
      <x:c r="A366" s="46" t="n">
        <x:v>334</x:v>
      </x:c>
      <x:c r="B366" s="27" t="str">
        <x:v>飘逸凡尘</x:v>
      </x:c>
      <x:c r="C366" s="49" t="str">
        <x:v>燕云</x:v>
      </x:c>
      <x:c r="D366" s="49" t="str">
        <x:v>燕云</x:v>
      </x:c>
      <x:c r="E366" s="49" t="str">
        <x:v>留盟</x:v>
      </x:c>
      <x:c r="F366" s="49" t="str"/>
      <x:c r="G366" s="49"/>
      <x:c r="H366" s="37"/>
      <x:c r="I366" s="37"/>
      <x:c r="J366" s="40"/>
      <x:c r="K366" s="40"/>
      <x:c r="L366" s="40"/>
      <x:c r="M366" s="40"/>
      <x:c r="N366" s="40"/>
      <x:c r="O366" s="40"/>
      <x:c r="P366" s="40" t="str">
        <x:f>IF(COUNT(J366:O366)=0,"",SUM(J366:O366))</x:f>
      </x:c>
      <x:c r="Q366" s="40" t="n">
        <x:v>0</x:v>
      </x:c>
      <x:c r="R366" s="40" t="n">
        <x:v>9060376</x:v>
      </x:c>
      <x:c r="S366" s="40" t="n">
        <x:v>12434530</x:v>
      </x:c>
      <x:c r="T366" s="40" t="n">
        <x:v>0</x:v>
      </x:c>
      <x:c r="U366" s="40" t="n">
        <x:v>0</x:v>
      </x:c>
      <x:c r="V366" s="49" t="str">
        <x:v>22</x:v>
      </x:c>
      <x:c r="W366" s="49" t="n">
        <x:v>1</x:v>
      </x:c>
      <x:c r="X366" s="52" t="n">
        <x:f>ROUND(100*(0.4*LN(1+Q366)/LN(1+MAX($Q$5:$Q$395))+0.35*R366/MAX($R$5:$R$395)+0.15*S366/MAX($S$5:$S$395)+IF(P366="",0,0.1*P366/MAX($P$5:$P$395)))/IF(P366="",0.9,1),1)</x:f>
        <x:v>3</x:v>
      </x:c>
      <x:c r="Y366" s="49" t="n">
        <x:f>RANK.EQ(X366,$X$5:$X$395,0)</x:f>
        <x:v>362</x:v>
      </x:c>
      <x:c r="Z366" s="34" t="str">
        <x:v>保持当前盟，减少迁移成本</x:v>
      </x:c>
      <x:c r="AA366" s="55" t="str">
        <x:v>六维未匹配</x:v>
      </x:c>
    </x:row>
    <x:row r="367" ht="20" customHeight="1">
      <x:c r="A367" s="46" t="n">
        <x:v>338</x:v>
      </x:c>
      <x:c r="B367" s="27" t="str">
        <x:v>海鸣威</x:v>
      </x:c>
      <x:c r="C367" s="49" t="str">
        <x:v>燕云</x:v>
      </x:c>
      <x:c r="D367" s="49" t="str">
        <x:v>燕云</x:v>
      </x:c>
      <x:c r="E367" s="49" t="str">
        <x:v>留盟</x:v>
      </x:c>
      <x:c r="F367" s="49" t="str"/>
      <x:c r="G367" s="49"/>
      <x:c r="H367" s="37"/>
      <x:c r="I367" s="37"/>
      <x:c r="J367" s="40"/>
      <x:c r="K367" s="40"/>
      <x:c r="L367" s="40"/>
      <x:c r="M367" s="40"/>
      <x:c r="N367" s="40"/>
      <x:c r="O367" s="40"/>
      <x:c r="P367" s="40" t="str">
        <x:f>IF(COUNT(J367:O367)=0,"",SUM(J367:O367))</x:f>
      </x:c>
      <x:c r="Q367" s="40" t="n">
        <x:v>0</x:v>
      </x:c>
      <x:c r="R367" s="40" t="n">
        <x:v>8867518</x:v>
      </x:c>
      <x:c r="S367" s="40" t="n">
        <x:v>11144308</x:v>
      </x:c>
      <x:c r="T367" s="40" t="n">
        <x:v>0</x:v>
      </x:c>
      <x:c r="U367" s="40" t="n">
        <x:v>0</x:v>
      </x:c>
      <x:c r="V367" s="49" t="str">
        <x:v>23</x:v>
      </x:c>
      <x:c r="W367" s="49" t="n">
        <x:v>1</x:v>
      </x:c>
      <x:c r="X367" s="52" t="n">
        <x:f>ROUND(100*(0.4*LN(1+Q367)/LN(1+MAX($Q$5:$Q$395))+0.35*R367/MAX($R$5:$R$395)+0.15*S367/MAX($S$5:$S$395)+IF(P367="",0,0.1*P367/MAX($P$5:$P$395)))/IF(P367="",0.9,1),1)</x:f>
        <x:v>2.9</x:v>
      </x:c>
      <x:c r="Y367" s="49" t="n">
        <x:f>RANK.EQ(X367,$X$5:$X$395,0)</x:f>
        <x:v>363</x:v>
      </x:c>
      <x:c r="Z367" s="34" t="str">
        <x:v>保持当前盟，减少迁移成本</x:v>
      </x:c>
      <x:c r="AA367" s="55" t="str">
        <x:v>六维未匹配</x:v>
      </x:c>
    </x:row>
    <x:row r="368" ht="20" customHeight="1">
      <x:c r="A368" s="46" t="n">
        <x:v>366</x:v>
      </x:c>
      <x:c r="B368" s="27" t="str">
        <x:v>哎呦喂丶那个谁</x:v>
      </x:c>
      <x:c r="C368" s="49" t="str">
        <x:v>燕云</x:v>
      </x:c>
      <x:c r="D368" s="49" t="str">
        <x:v>燕云</x:v>
      </x:c>
      <x:c r="E368" s="49" t="str">
        <x:v>留盟</x:v>
      </x:c>
      <x:c r="F368" s="49" t="str"/>
      <x:c r="G368" s="49"/>
      <x:c r="H368" s="37"/>
      <x:c r="I368" s="37"/>
      <x:c r="J368" s="40"/>
      <x:c r="K368" s="40"/>
      <x:c r="L368" s="40"/>
      <x:c r="M368" s="40"/>
      <x:c r="N368" s="40"/>
      <x:c r="O368" s="40"/>
      <x:c r="P368" s="40" t="str">
        <x:f>IF(COUNT(J368:O368)=0,"",SUM(J368:O368))</x:f>
      </x:c>
      <x:c r="Q368" s="40" t="n">
        <x:v>0</x:v>
      </x:c>
      <x:c r="R368" s="40" t="n">
        <x:v>8168457</x:v>
      </x:c>
      <x:c r="S368" s="40" t="n">
        <x:v>8525545</x:v>
      </x:c>
      <x:c r="T368" s="40" t="n">
        <x:v>0</x:v>
      </x:c>
      <x:c r="U368" s="40" t="n">
        <x:v>0</x:v>
      </x:c>
      <x:c r="V368" s="49" t="str">
        <x:v>18</x:v>
      </x:c>
      <x:c r="W368" s="49" t="n">
        <x:v>1</x:v>
      </x:c>
      <x:c r="X368" s="52" t="n">
        <x:f>ROUND(100*(0.4*LN(1+Q368)/LN(1+MAX($Q$5:$Q$395))+0.35*R368/MAX($R$5:$R$395)+0.15*S368/MAX($S$5:$S$395)+IF(P368="",0,0.1*P368/MAX($P$5:$P$395)))/IF(P368="",0.9,1),1)</x:f>
        <x:v>2.6</x:v>
      </x:c>
      <x:c r="Y368" s="49" t="n">
        <x:f>RANK.EQ(X368,$X$5:$X$395,0)</x:f>
        <x:v>364</x:v>
      </x:c>
      <x:c r="Z368" s="34" t="str">
        <x:v>保持当前盟，减少迁移成本</x:v>
      </x:c>
      <x:c r="AA368" s="55" t="str">
        <x:v>六维未匹配</x:v>
      </x:c>
    </x:row>
    <x:row r="369" ht="20" customHeight="1">
      <x:c r="A369" s="46" t="n">
        <x:v>375</x:v>
      </x:c>
      <x:c r="B369" s="27" t="str">
        <x:v>星露谷</x:v>
      </x:c>
      <x:c r="C369" s="49" t="str">
        <x:v>燕云</x:v>
      </x:c>
      <x:c r="D369" s="49" t="str">
        <x:v>燕云</x:v>
      </x:c>
      <x:c r="E369" s="49" t="str">
        <x:v>留盟</x:v>
      </x:c>
      <x:c r="F369" s="49" t="str"/>
      <x:c r="G369" s="49"/>
      <x:c r="H369" s="37"/>
      <x:c r="I369" s="37"/>
      <x:c r="J369" s="40"/>
      <x:c r="K369" s="40"/>
      <x:c r="L369" s="40"/>
      <x:c r="M369" s="40"/>
      <x:c r="N369" s="40"/>
      <x:c r="O369" s="40"/>
      <x:c r="P369" s="40" t="str">
        <x:f>IF(COUNT(J369:O369)=0,"",SUM(J369:O369))</x:f>
      </x:c>
      <x:c r="Q369" s="40" t="n">
        <x:v>0</x:v>
      </x:c>
      <x:c r="R369" s="40" t="n">
        <x:v>8036145</x:v>
      </x:c>
      <x:c r="S369" s="40" t="n">
        <x:v>9430846</x:v>
      </x:c>
      <x:c r="T369" s="40" t="n">
        <x:v>0</x:v>
      </x:c>
      <x:c r="U369" s="40" t="n">
        <x:v>0</x:v>
      </x:c>
      <x:c r="V369" s="49" t="str">
        <x:v>24</x:v>
      </x:c>
      <x:c r="W369" s="49" t="n">
        <x:v>2</x:v>
      </x:c>
      <x:c r="X369" s="52" t="n">
        <x:f>ROUND(100*(0.4*LN(1+Q369)/LN(1+MAX($Q$5:$Q$395))+0.35*R369/MAX($R$5:$R$395)+0.15*S369/MAX($S$5:$S$395)+IF(P369="",0,0.1*P369/MAX($P$5:$P$395)))/IF(P369="",0.9,1),1)</x:f>
        <x:v>2.6</x:v>
      </x:c>
      <x:c r="Y369" s="49" t="n">
        <x:f>RANK.EQ(X369,$X$5:$X$395,0)</x:f>
        <x:v>364</x:v>
      </x:c>
      <x:c r="Z369" s="34" t="str">
        <x:v>保持当前盟，减少迁移成本</x:v>
      </x:c>
      <x:c r="AA369" s="55" t="str">
        <x:v>六维未匹配</x:v>
      </x:c>
    </x:row>
    <x:row r="370" ht="20" customHeight="1">
      <x:c r="A370" s="46" t="n">
        <x:v>363</x:v>
      </x:c>
      <x:c r="B370" s="27" t="str">
        <x:v>令狐老爷车</x:v>
      </x:c>
      <x:c r="C370" s="49" t="str">
        <x:v>燕云</x:v>
      </x:c>
      <x:c r="D370" s="49" t="str">
        <x:v>燕云</x:v>
      </x:c>
      <x:c r="E370" s="49" t="str">
        <x:v>留盟</x:v>
      </x:c>
      <x:c r="F370" s="49" t="str"/>
      <x:c r="G370" s="49"/>
      <x:c r="H370" s="37"/>
      <x:c r="I370" s="37"/>
      <x:c r="J370" s="40"/>
      <x:c r="K370" s="40"/>
      <x:c r="L370" s="40"/>
      <x:c r="M370" s="40"/>
      <x:c r="N370" s="40"/>
      <x:c r="O370" s="40"/>
      <x:c r="P370" s="40" t="str">
        <x:f>IF(COUNT(J370:O370)=0,"",SUM(J370:O370))</x:f>
      </x:c>
      <x:c r="Q370" s="40" t="n">
        <x:v>0</x:v>
      </x:c>
      <x:c r="R370" s="40" t="n">
        <x:v>6877808</x:v>
      </x:c>
      <x:c r="S370" s="40" t="n">
        <x:v>7108598</x:v>
      </x:c>
      <x:c r="T370" s="40" t="n">
        <x:v>0</x:v>
      </x:c>
      <x:c r="U370" s="40" t="n">
        <x:v>0</x:v>
      </x:c>
      <x:c r="V370" s="49" t="str">
        <x:v>20</x:v>
      </x:c>
      <x:c r="W370" s="49" t="n">
        <x:v>2</x:v>
      </x:c>
      <x:c r="X370" s="52" t="n">
        <x:f>ROUND(100*(0.4*LN(1+Q370)/LN(1+MAX($Q$5:$Q$395))+0.35*R370/MAX($R$5:$R$395)+0.15*S370/MAX($S$5:$S$395)+IF(P370="",0,0.1*P370/MAX($P$5:$P$395)))/IF(P370="",0.9,1),1)</x:f>
        <x:v>2.2</x:v>
      </x:c>
      <x:c r="Y370" s="49" t="n">
        <x:f>RANK.EQ(X370,$X$5:$X$395,0)</x:f>
        <x:v>366</x:v>
      </x:c>
      <x:c r="Z370" s="34" t="str">
        <x:v>保持当前盟，减少迁移成本</x:v>
      </x:c>
      <x:c r="AA370" s="55" t="str">
        <x:v>六维未匹配</x:v>
      </x:c>
    </x:row>
    <x:row r="371" ht="20" customHeight="1">
      <x:c r="A371" s="46" t="n">
        <x:v>329</x:v>
      </x:c>
      <x:c r="B371" s="27" t="str">
        <x:v>曹刘孙</x:v>
      </x:c>
      <x:c r="C371" s="49" t="str">
        <x:v>燕云</x:v>
      </x:c>
      <x:c r="D371" s="49" t="str">
        <x:v>燕云</x:v>
      </x:c>
      <x:c r="E371" s="49" t="str">
        <x:v>留盟</x:v>
      </x:c>
      <x:c r="F371" s="49" t="str"/>
      <x:c r="G371" s="49"/>
      <x:c r="H371" s="37"/>
      <x:c r="I371" s="37"/>
      <x:c r="J371" s="40"/>
      <x:c r="K371" s="40"/>
      <x:c r="L371" s="40"/>
      <x:c r="M371" s="40"/>
      <x:c r="N371" s="40"/>
      <x:c r="O371" s="40"/>
      <x:c r="P371" s="40" t="str">
        <x:f>IF(COUNT(J371:O371)=0,"",SUM(J371:O371))</x:f>
      </x:c>
      <x:c r="Q371" s="40" t="n">
        <x:v>0</x:v>
      </x:c>
      <x:c r="R371" s="40" t="n">
        <x:v>5326207</x:v>
      </x:c>
      <x:c r="S371" s="40" t="n">
        <x:v>5841434</x:v>
      </x:c>
      <x:c r="T371" s="40" t="n">
        <x:v>0</x:v>
      </x:c>
      <x:c r="U371" s="40" t="n">
        <x:v>0</x:v>
      </x:c>
      <x:c r="V371" s="49" t="str">
        <x:v>19</x:v>
      </x:c>
      <x:c r="W371" s="49" t="n">
        <x:v>1</x:v>
      </x:c>
      <x:c r="X371" s="52" t="n">
        <x:f>ROUND(100*(0.4*LN(1+Q371)/LN(1+MAX($Q$5:$Q$395))+0.35*R371/MAX($R$5:$R$395)+0.15*S371/MAX($S$5:$S$395)+IF(P371="",0,0.1*P371/MAX($P$5:$P$395)))/IF(P371="",0.9,1),1)</x:f>
        <x:v>1.7</x:v>
      </x:c>
      <x:c r="Y371" s="49" t="n">
        <x:f>RANK.EQ(X371,$X$5:$X$395,0)</x:f>
        <x:v>367</x:v>
      </x:c>
      <x:c r="Z371" s="34" t="str">
        <x:v>保持当前盟，减少迁移成本</x:v>
      </x:c>
      <x:c r="AA371" s="55" t="str">
        <x:v>六维未匹配</x:v>
      </x:c>
    </x:row>
    <x:row r="372" ht="20" customHeight="1">
      <x:c r="A372" s="46" t="n">
        <x:v>357</x:v>
      </x:c>
      <x:c r="B372" s="27" t="str">
        <x:v>主公973155905003</x:v>
      </x:c>
      <x:c r="C372" s="49" t="str">
        <x:v>燕云</x:v>
      </x:c>
      <x:c r="D372" s="49" t="str">
        <x:v>燕云</x:v>
      </x:c>
      <x:c r="E372" s="49" t="str">
        <x:v>留盟</x:v>
      </x:c>
      <x:c r="F372" s="49" t="str"/>
      <x:c r="G372" s="49"/>
      <x:c r="H372" s="37"/>
      <x:c r="I372" s="37"/>
      <x:c r="J372" s="40"/>
      <x:c r="K372" s="40"/>
      <x:c r="L372" s="40"/>
      <x:c r="M372" s="40"/>
      <x:c r="N372" s="40"/>
      <x:c r="O372" s="40"/>
      <x:c r="P372" s="40" t="str">
        <x:f>IF(COUNT(J372:O372)=0,"",SUM(J372:O372))</x:f>
      </x:c>
      <x:c r="Q372" s="40" t="n">
        <x:v>0</x:v>
      </x:c>
      <x:c r="R372" s="40" t="n">
        <x:v>5360860</x:v>
      </x:c>
      <x:c r="S372" s="40" t="n">
        <x:v>5489442</x:v>
      </x:c>
      <x:c r="T372" s="40" t="n">
        <x:v>0</x:v>
      </x:c>
      <x:c r="U372" s="40" t="n">
        <x:v>0</x:v>
      </x:c>
      <x:c r="V372" s="49" t="str">
        <x:v>19</x:v>
      </x:c>
      <x:c r="W372" s="49" t="n">
        <x:v>1</x:v>
      </x:c>
      <x:c r="X372" s="52" t="n">
        <x:f>ROUND(100*(0.4*LN(1+Q372)/LN(1+MAX($Q$5:$Q$395))+0.35*R372/MAX($R$5:$R$395)+0.15*S372/MAX($S$5:$S$395)+IF(P372="",0,0.1*P372/MAX($P$5:$P$395)))/IF(P372="",0.9,1),1)</x:f>
        <x:v>1.7</x:v>
      </x:c>
      <x:c r="Y372" s="49" t="n">
        <x:f>RANK.EQ(X372,$X$5:$X$395,0)</x:f>
        <x:v>367</x:v>
      </x:c>
      <x:c r="Z372" s="34" t="str">
        <x:v>保持当前盟，减少迁移成本</x:v>
      </x:c>
      <x:c r="AA372" s="55" t="str">
        <x:v>六维未匹配</x:v>
      </x:c>
    </x:row>
    <x:row r="373" ht="20" customHeight="1">
      <x:c r="A373" s="46" t="n">
        <x:v>328</x:v>
      </x:c>
      <x:c r="B373" s="27" t="str">
        <x:v>一生有你</x:v>
      </x:c>
      <x:c r="C373" s="49" t="str">
        <x:v>燕云</x:v>
      </x:c>
      <x:c r="D373" s="49" t="str">
        <x:v>燕云</x:v>
      </x:c>
      <x:c r="E373" s="49" t="str">
        <x:v>留盟</x:v>
      </x:c>
      <x:c r="F373" s="49" t="str"/>
      <x:c r="G373" s="49"/>
      <x:c r="H373" s="37"/>
      <x:c r="I373" s="37"/>
      <x:c r="J373" s="40"/>
      <x:c r="K373" s="40"/>
      <x:c r="L373" s="40"/>
      <x:c r="M373" s="40"/>
      <x:c r="N373" s="40"/>
      <x:c r="O373" s="40"/>
      <x:c r="P373" s="40" t="str">
        <x:f>IF(COUNT(J373:O373)=0,"",SUM(J373:O373))</x:f>
      </x:c>
      <x:c r="Q373" s="40" t="n">
        <x:v>0</x:v>
      </x:c>
      <x:c r="R373" s="40" t="n">
        <x:v>4734811</x:v>
      </x:c>
      <x:c r="S373" s="40" t="n">
        <x:v>5263016</x:v>
      </x:c>
      <x:c r="T373" s="40" t="n">
        <x:v>0</x:v>
      </x:c>
      <x:c r="U373" s="40" t="n">
        <x:v>0</x:v>
      </x:c>
      <x:c r="V373" s="49" t="str">
        <x:v>19</x:v>
      </x:c>
      <x:c r="W373" s="49" t="n">
        <x:v>1</x:v>
      </x:c>
      <x:c r="X373" s="52" t="n">
        <x:f>ROUND(100*(0.4*LN(1+Q373)/LN(1+MAX($Q$5:$Q$395))+0.35*R373/MAX($R$5:$R$395)+0.15*S373/MAX($S$5:$S$395)+IF(P373="",0,0.1*P373/MAX($P$5:$P$395)))/IF(P373="",0.9,1),1)</x:f>
        <x:v>1.5</x:v>
      </x:c>
      <x:c r="Y373" s="49" t="n">
        <x:f>RANK.EQ(X373,$X$5:$X$395,0)</x:f>
        <x:v>369</x:v>
      </x:c>
      <x:c r="Z373" s="34" t="str">
        <x:v>保持当前盟，减少迁移成本</x:v>
      </x:c>
      <x:c r="AA373" s="55" t="str">
        <x:v>六维未匹配</x:v>
      </x:c>
    </x:row>
    <x:row r="374" ht="20" customHeight="1">
      <x:c r="A374" s="46" t="n">
        <x:v>345</x:v>
      </x:c>
      <x:c r="B374" s="27" t="str">
        <x:v>六位帝皇玩</x:v>
      </x:c>
      <x:c r="C374" s="49" t="str">
        <x:v>燕云</x:v>
      </x:c>
      <x:c r="D374" s="49" t="str">
        <x:v>燕云</x:v>
      </x:c>
      <x:c r="E374" s="49" t="str">
        <x:v>留盟</x:v>
      </x:c>
      <x:c r="F374" s="49" t="str"/>
      <x:c r="G374" s="49"/>
      <x:c r="H374" s="37"/>
      <x:c r="I374" s="37"/>
      <x:c r="J374" s="40"/>
      <x:c r="K374" s="40"/>
      <x:c r="L374" s="40"/>
      <x:c r="M374" s="40"/>
      <x:c r="N374" s="40"/>
      <x:c r="O374" s="40"/>
      <x:c r="P374" s="40" t="str">
        <x:f>IF(COUNT(J374:O374)=0,"",SUM(J374:O374))</x:f>
      </x:c>
      <x:c r="Q374" s="40" t="n">
        <x:v>0</x:v>
      </x:c>
      <x:c r="R374" s="40" t="n">
        <x:v>4330197</x:v>
      </x:c>
      <x:c r="S374" s="40" t="n">
        <x:v>4613786</x:v>
      </x:c>
      <x:c r="T374" s="40" t="n">
        <x:v>0</x:v>
      </x:c>
      <x:c r="U374" s="40" t="n">
        <x:v>0</x:v>
      </x:c>
      <x:c r="V374" s="49" t="str">
        <x:v>19</x:v>
      </x:c>
      <x:c r="W374" s="49" t="n">
        <x:v>2</x:v>
      </x:c>
      <x:c r="X374" s="52" t="n">
        <x:f>ROUND(100*(0.4*LN(1+Q374)/LN(1+MAX($Q$5:$Q$395))+0.35*R374/MAX($R$5:$R$395)+0.15*S374/MAX($S$5:$S$395)+IF(P374="",0,0.1*P374/MAX($P$5:$P$395)))/IF(P374="",0.9,1),1)</x:f>
        <x:v>1.4</x:v>
      </x:c>
      <x:c r="Y374" s="49" t="n">
        <x:f>RANK.EQ(X374,$X$5:$X$395,0)</x:f>
        <x:v>370</x:v>
      </x:c>
      <x:c r="Z374" s="34" t="str">
        <x:v>保持当前盟，减少迁移成本</x:v>
      </x:c>
      <x:c r="AA374" s="55" t="str">
        <x:v>六维未匹配</x:v>
      </x:c>
    </x:row>
    <x:row r="375" ht="20" customHeight="1">
      <x:c r="A375" s="46" t="n">
        <x:v>332</x:v>
      </x:c>
      <x:c r="B375" s="27" t="str">
        <x:v>嫩达那蛋</x:v>
      </x:c>
      <x:c r="C375" s="49" t="str">
        <x:v>燕云</x:v>
      </x:c>
      <x:c r="D375" s="49" t="str">
        <x:v>燕云</x:v>
      </x:c>
      <x:c r="E375" s="49" t="str">
        <x:v>留盟</x:v>
      </x:c>
      <x:c r="F375" s="49" t="str"/>
      <x:c r="G375" s="49"/>
      <x:c r="H375" s="37"/>
      <x:c r="I375" s="37"/>
      <x:c r="J375" s="40"/>
      <x:c r="K375" s="40"/>
      <x:c r="L375" s="40"/>
      <x:c r="M375" s="40"/>
      <x:c r="N375" s="40"/>
      <x:c r="O375" s="40"/>
      <x:c r="P375" s="40" t="str">
        <x:f>IF(COUNT(J375:O375)=0,"",SUM(J375:O375))</x:f>
      </x:c>
      <x:c r="Q375" s="40" t="n">
        <x:v>0</x:v>
      </x:c>
      <x:c r="R375" s="40" t="n">
        <x:v>3971608</x:v>
      </x:c>
      <x:c r="S375" s="40" t="n">
        <x:v>4810450</x:v>
      </x:c>
      <x:c r="T375" s="40" t="n">
        <x:v>0</x:v>
      </x:c>
      <x:c r="U375" s="40" t="n">
        <x:v>0</x:v>
      </x:c>
      <x:c r="V375" s="49" t="str">
        <x:v>18</x:v>
      </x:c>
      <x:c r="W375" s="49" t="n">
        <x:v>1</x:v>
      </x:c>
      <x:c r="X375" s="52" t="n">
        <x:f>ROUND(100*(0.4*LN(1+Q375)/LN(1+MAX($Q$5:$Q$395))+0.35*R375/MAX($R$5:$R$395)+0.15*S375/MAX($S$5:$S$395)+IF(P375="",0,0.1*P375/MAX($P$5:$P$395)))/IF(P375="",0.9,1),1)</x:f>
        <x:v>1.3</x:v>
      </x:c>
      <x:c r="Y375" s="49" t="n">
        <x:f>RANK.EQ(X375,$X$5:$X$395,0)</x:f>
        <x:v>371</x:v>
      </x:c>
      <x:c r="Z375" s="34" t="str">
        <x:v>保持当前盟，减少迁移成本</x:v>
      </x:c>
      <x:c r="AA375" s="55" t="str">
        <x:v>六维未匹配</x:v>
      </x:c>
    </x:row>
    <x:row r="376" ht="20" customHeight="1">
      <x:c r="A376" s="46" t="n">
        <x:v>333</x:v>
      </x:c>
      <x:c r="B376" s="27" t="str">
        <x:v>黑瓜豆</x:v>
      </x:c>
      <x:c r="C376" s="49" t="str">
        <x:v>燕云</x:v>
      </x:c>
      <x:c r="D376" s="49" t="str">
        <x:v>燕云</x:v>
      </x:c>
      <x:c r="E376" s="49" t="str">
        <x:v>留盟</x:v>
      </x:c>
      <x:c r="F376" s="49" t="str"/>
      <x:c r="G376" s="49"/>
      <x:c r="H376" s="37"/>
      <x:c r="I376" s="37"/>
      <x:c r="J376" s="40"/>
      <x:c r="K376" s="40"/>
      <x:c r="L376" s="40"/>
      <x:c r="M376" s="40"/>
      <x:c r="N376" s="40"/>
      <x:c r="O376" s="40"/>
      <x:c r="P376" s="40" t="str">
        <x:f>IF(COUNT(J376:O376)=0,"",SUM(J376:O376))</x:f>
      </x:c>
      <x:c r="Q376" s="40" t="n">
        <x:v>0</x:v>
      </x:c>
      <x:c r="R376" s="40" t="n">
        <x:v>3999440</x:v>
      </x:c>
      <x:c r="S376" s="40" t="n">
        <x:v>4105178</x:v>
      </x:c>
      <x:c r="T376" s="40" t="n">
        <x:v>0</x:v>
      </x:c>
      <x:c r="U376" s="40" t="n">
        <x:v>0</x:v>
      </x:c>
      <x:c r="V376" s="49" t="str">
        <x:v>16</x:v>
      </x:c>
      <x:c r="W376" s="49" t="n">
        <x:v>1</x:v>
      </x:c>
      <x:c r="X376" s="52" t="n">
        <x:f>ROUND(100*(0.4*LN(1+Q376)/LN(1+MAX($Q$5:$Q$395))+0.35*R376/MAX($R$5:$R$395)+0.15*S376/MAX($S$5:$S$395)+IF(P376="",0,0.1*P376/MAX($P$5:$P$395)))/IF(P376="",0.9,1),1)</x:f>
        <x:v>1.3</x:v>
      </x:c>
      <x:c r="Y376" s="49" t="n">
        <x:f>RANK.EQ(X376,$X$5:$X$395,0)</x:f>
        <x:v>371</x:v>
      </x:c>
      <x:c r="Z376" s="34" t="str">
        <x:v>保持当前盟，减少迁移成本</x:v>
      </x:c>
      <x:c r="AA376" s="55" t="str">
        <x:v>六维未匹配</x:v>
      </x:c>
    </x:row>
    <x:row r="377" ht="20" customHeight="1">
      <x:c r="A377" s="46" t="n">
        <x:v>354</x:v>
      </x:c>
      <x:c r="B377" s="27" t="str">
        <x:v>失去的过往</x:v>
      </x:c>
      <x:c r="C377" s="49" t="str">
        <x:v>燕云</x:v>
      </x:c>
      <x:c r="D377" s="49" t="str">
        <x:v>燕云</x:v>
      </x:c>
      <x:c r="E377" s="49" t="str">
        <x:v>留盟</x:v>
      </x:c>
      <x:c r="F377" s="49" t="str"/>
      <x:c r="G377" s="49"/>
      <x:c r="H377" s="37"/>
      <x:c r="I377" s="37"/>
      <x:c r="J377" s="40"/>
      <x:c r="K377" s="40"/>
      <x:c r="L377" s="40"/>
      <x:c r="M377" s="40"/>
      <x:c r="N377" s="40"/>
      <x:c r="O377" s="40"/>
      <x:c r="P377" s="40" t="str">
        <x:f>IF(COUNT(J377:O377)=0,"",SUM(J377:O377))</x:f>
      </x:c>
      <x:c r="Q377" s="40" t="n">
        <x:v>0</x:v>
      </x:c>
      <x:c r="R377" s="40" t="n">
        <x:v>3918414</x:v>
      </x:c>
      <x:c r="S377" s="40" t="n">
        <x:v>4119945</x:v>
      </x:c>
      <x:c r="T377" s="40" t="n">
        <x:v>0</x:v>
      </x:c>
      <x:c r="U377" s="40" t="n">
        <x:v>0</x:v>
      </x:c>
      <x:c r="V377" s="49" t="str">
        <x:v>17</x:v>
      </x:c>
      <x:c r="W377" s="49" t="n">
        <x:v>1</x:v>
      </x:c>
      <x:c r="X377" s="52" t="n">
        <x:f>ROUND(100*(0.4*LN(1+Q377)/LN(1+MAX($Q$5:$Q$395))+0.35*R377/MAX($R$5:$R$395)+0.15*S377/MAX($S$5:$S$395)+IF(P377="",0,0.1*P377/MAX($P$5:$P$395)))/IF(P377="",0.9,1),1)</x:f>
        <x:v>1.3</x:v>
      </x:c>
      <x:c r="Y377" s="49" t="n">
        <x:f>RANK.EQ(X377,$X$5:$X$395,0)</x:f>
        <x:v>371</x:v>
      </x:c>
      <x:c r="Z377" s="34" t="str">
        <x:v>保持当前盟，减少迁移成本</x:v>
      </x:c>
      <x:c r="AA377" s="55" t="str">
        <x:v>六维未匹配</x:v>
      </x:c>
    </x:row>
    <x:row r="378" ht="20" customHeight="1">
      <x:c r="A378" s="46" t="n">
        <x:v>352</x:v>
      </x:c>
      <x:c r="B378" s="27" t="str">
        <x:v>骑貂蝉战吕布</x:v>
      </x:c>
      <x:c r="C378" s="49" t="str">
        <x:v>燕云</x:v>
      </x:c>
      <x:c r="D378" s="49" t="str">
        <x:v>燕云</x:v>
      </x:c>
      <x:c r="E378" s="49" t="str">
        <x:v>留盟</x:v>
      </x:c>
      <x:c r="F378" s="49" t="str"/>
      <x:c r="G378" s="49"/>
      <x:c r="H378" s="37"/>
      <x:c r="I378" s="37"/>
      <x:c r="J378" s="40"/>
      <x:c r="K378" s="40"/>
      <x:c r="L378" s="40"/>
      <x:c r="M378" s="40"/>
      <x:c r="N378" s="40"/>
      <x:c r="O378" s="40"/>
      <x:c r="P378" s="40" t="str">
        <x:f>IF(COUNT(J378:O378)=0,"",SUM(J378:O378))</x:f>
      </x:c>
      <x:c r="Q378" s="40" t="n">
        <x:v>0</x:v>
      </x:c>
      <x:c r="R378" s="40" t="n">
        <x:v>3931964</x:v>
      </x:c>
      <x:c r="S378" s="40" t="n">
        <x:v>3944893</x:v>
      </x:c>
      <x:c r="T378" s="40" t="n">
        <x:v>0</x:v>
      </x:c>
      <x:c r="U378" s="40" t="n">
        <x:v>0</x:v>
      </x:c>
      <x:c r="V378" s="49" t="str">
        <x:v>16</x:v>
      </x:c>
      <x:c r="W378" s="49" t="n">
        <x:v>1</x:v>
      </x:c>
      <x:c r="X378" s="52" t="n">
        <x:f>ROUND(100*(0.4*LN(1+Q378)/LN(1+MAX($Q$5:$Q$395))+0.35*R378/MAX($R$5:$R$395)+0.15*S378/MAX($S$5:$S$395)+IF(P378="",0,0.1*P378/MAX($P$5:$P$395)))/IF(P378="",0.9,1),1)</x:f>
        <x:v>1.3</x:v>
      </x:c>
      <x:c r="Y378" s="49" t="n">
        <x:f>RANK.EQ(X378,$X$5:$X$395,0)</x:f>
        <x:v>371</x:v>
      </x:c>
      <x:c r="Z378" s="34" t="str">
        <x:v>保持当前盟，减少迁移成本</x:v>
      </x:c>
      <x:c r="AA378" s="55" t="str">
        <x:v>六维未匹配</x:v>
      </x:c>
    </x:row>
    <x:row r="379" ht="20" customHeight="1">
      <x:c r="A379" s="46" t="n">
        <x:v>330</x:v>
      </x:c>
      <x:c r="B379" s="27" t="str">
        <x:v>主公973155934443</x:v>
      </x:c>
      <x:c r="C379" s="49" t="str">
        <x:v>燕云</x:v>
      </x:c>
      <x:c r="D379" s="49" t="str">
        <x:v>燕云</x:v>
      </x:c>
      <x:c r="E379" s="49" t="str">
        <x:v>留盟</x:v>
      </x:c>
      <x:c r="F379" s="49" t="str"/>
      <x:c r="G379" s="49"/>
      <x:c r="H379" s="37"/>
      <x:c r="I379" s="37"/>
      <x:c r="J379" s="40"/>
      <x:c r="K379" s="40"/>
      <x:c r="L379" s="40"/>
      <x:c r="M379" s="40"/>
      <x:c r="N379" s="40"/>
      <x:c r="O379" s="40"/>
      <x:c r="P379" s="40" t="str">
        <x:f>IF(COUNT(J379:O379)=0,"",SUM(J379:O379))</x:f>
      </x:c>
      <x:c r="Q379" s="40" t="n">
        <x:v>0</x:v>
      </x:c>
      <x:c r="R379" s="40" t="n">
        <x:v>2886862</x:v>
      </x:c>
      <x:c r="S379" s="40" t="n">
        <x:v>2895611</x:v>
      </x:c>
      <x:c r="T379" s="40" t="n">
        <x:v>0</x:v>
      </x:c>
      <x:c r="U379" s="40" t="n">
        <x:v>0</x:v>
      </x:c>
      <x:c r="V379" s="49" t="str">
        <x:v>16</x:v>
      </x:c>
      <x:c r="W379" s="49" t="n">
        <x:v>1</x:v>
      </x:c>
      <x:c r="X379" s="52" t="n">
        <x:f>ROUND(100*(0.4*LN(1+Q379)/LN(1+MAX($Q$5:$Q$395))+0.35*R379/MAX($R$5:$R$395)+0.15*S379/MAX($S$5:$S$395)+IF(P379="",0,0.1*P379/MAX($P$5:$P$395)))/IF(P379="",0.9,1),1)</x:f>
        <x:v>0.9</x:v>
      </x:c>
      <x:c r="Y379" s="49" t="n">
        <x:f>RANK.EQ(X379,$X$5:$X$395,0)</x:f>
        <x:v>375</x:v>
      </x:c>
      <x:c r="Z379" s="34" t="str">
        <x:v>保持当前盟，减少迁移成本</x:v>
      </x:c>
      <x:c r="AA379" s="55" t="str">
        <x:v>六维未匹配</x:v>
      </x:c>
    </x:row>
    <x:row r="380" ht="20" customHeight="1">
      <x:c r="A380" s="46" t="n">
        <x:v>380</x:v>
      </x:c>
      <x:c r="B380" s="27" t="str">
        <x:v>菠萝小号</x:v>
      </x:c>
      <x:c r="C380" s="49" t="str">
        <x:v>燕云</x:v>
      </x:c>
      <x:c r="D380" s="49" t="str">
        <x:v>燕云</x:v>
      </x:c>
      <x:c r="E380" s="49" t="str">
        <x:v>留盟</x:v>
      </x:c>
      <x:c r="F380" s="49" t="str"/>
      <x:c r="G380" s="49"/>
      <x:c r="H380" s="37"/>
      <x:c r="I380" s="37"/>
      <x:c r="J380" s="40"/>
      <x:c r="K380" s="40"/>
      <x:c r="L380" s="40"/>
      <x:c r="M380" s="40"/>
      <x:c r="N380" s="40"/>
      <x:c r="O380" s="40"/>
      <x:c r="P380" s="40" t="str">
        <x:f>IF(COUNT(J380:O380)=0,"",SUM(J380:O380))</x:f>
      </x:c>
      <x:c r="Q380" s="40" t="n">
        <x:v>0</x:v>
      </x:c>
      <x:c r="R380" s="40" t="n">
        <x:v>2582594</x:v>
      </x:c>
      <x:c r="S380" s="40" t="n">
        <x:v>3081842</x:v>
      </x:c>
      <x:c r="T380" s="40" t="n">
        <x:v>0</x:v>
      </x:c>
      <x:c r="U380" s="40" t="n">
        <x:v>40320</x:v>
      </x:c>
      <x:c r="V380" s="49" t="str">
        <x:v>17</x:v>
      </x:c>
      <x:c r="W380" s="49" t="n">
        <x:v>2</x:v>
      </x:c>
      <x:c r="X380" s="52" t="n">
        <x:f>ROUND(100*(0.4*LN(1+Q380)/LN(1+MAX($Q$5:$Q$395))+0.35*R380/MAX($R$5:$R$395)+0.15*S380/MAX($S$5:$S$395)+IF(P380="",0,0.1*P380/MAX($P$5:$P$395)))/IF(P380="",0.9,1),1)</x:f>
        <x:v>0.8</x:v>
      </x:c>
      <x:c r="Y380" s="49" t="n">
        <x:f>RANK.EQ(X380,$X$5:$X$395,0)</x:f>
        <x:v>376</x:v>
      </x:c>
      <x:c r="Z380" s="34" t="str">
        <x:v>保持当前盟，减少迁移成本</x:v>
      </x:c>
      <x:c r="AA380" s="55" t="str">
        <x:v>六维未匹配</x:v>
      </x:c>
    </x:row>
    <x:row r="381" ht="20" customHeight="1">
      <x:c r="A381" s="46" t="n">
        <x:v>388</x:v>
      </x:c>
      <x:c r="B381" s="27" t="str">
        <x:v>小曦汐</x:v>
      </x:c>
      <x:c r="C381" s="49" t="str">
        <x:v>燕云</x:v>
      </x:c>
      <x:c r="D381" s="49" t="str">
        <x:v>燕云</x:v>
      </x:c>
      <x:c r="E381" s="49" t="str">
        <x:v>留盟</x:v>
      </x:c>
      <x:c r="F381" s="49" t="str"/>
      <x:c r="G381" s="49"/>
      <x:c r="H381" s="37"/>
      <x:c r="I381" s="37"/>
      <x:c r="J381" s="40"/>
      <x:c r="K381" s="40"/>
      <x:c r="L381" s="40"/>
      <x:c r="M381" s="40"/>
      <x:c r="N381" s="40"/>
      <x:c r="O381" s="40"/>
      <x:c r="P381" s="40" t="str">
        <x:f>IF(COUNT(J381:O381)=0,"",SUM(J381:O381))</x:f>
      </x:c>
      <x:c r="Q381" s="40" t="n">
        <x:v>0</x:v>
      </x:c>
      <x:c r="R381" s="40" t="n">
        <x:v>2497863</x:v>
      </x:c>
      <x:c r="S381" s="40" t="n">
        <x:v>2617855</x:v>
      </x:c>
      <x:c r="T381" s="40" t="n">
        <x:v>0</x:v>
      </x:c>
      <x:c r="U381" s="40" t="n">
        <x:v>27360</x:v>
      </x:c>
      <x:c r="V381" s="49" t="str">
        <x:v>13</x:v>
      </x:c>
      <x:c r="W381" s="49" t="n">
        <x:v>2</x:v>
      </x:c>
      <x:c r="X381" s="52" t="n">
        <x:f>ROUND(100*(0.4*LN(1+Q381)/LN(1+MAX($Q$5:$Q$395))+0.35*R381/MAX($R$5:$R$395)+0.15*S381/MAX($S$5:$S$395)+IF(P381="",0,0.1*P381/MAX($P$5:$P$395)))/IF(P381="",0.9,1),1)</x:f>
        <x:v>0.8</x:v>
      </x:c>
      <x:c r="Y381" s="49" t="n">
        <x:f>RANK.EQ(X381,$X$5:$X$395,0)</x:f>
        <x:v>376</x:v>
      </x:c>
      <x:c r="Z381" s="34" t="str">
        <x:v>保持当前盟，减少迁移成本</x:v>
      </x:c>
      <x:c r="AA381" s="55" t="str">
        <x:v>六维未匹配</x:v>
      </x:c>
    </x:row>
    <x:row r="382" ht="20" customHeight="1">
      <x:c r="A382" s="46" t="n">
        <x:v>336</x:v>
      </x:c>
      <x:c r="B382" s="27" t="str">
        <x:v>随风三国</x:v>
      </x:c>
      <x:c r="C382" s="49" t="str">
        <x:v>燕云</x:v>
      </x:c>
      <x:c r="D382" s="49" t="str">
        <x:v>燕云</x:v>
      </x:c>
      <x:c r="E382" s="49" t="str">
        <x:v>留盟</x:v>
      </x:c>
      <x:c r="F382" s="49" t="str"/>
      <x:c r="G382" s="49"/>
      <x:c r="H382" s="37"/>
      <x:c r="I382" s="37"/>
      <x:c r="J382" s="40"/>
      <x:c r="K382" s="40"/>
      <x:c r="L382" s="40"/>
      <x:c r="M382" s="40"/>
      <x:c r="N382" s="40"/>
      <x:c r="O382" s="40"/>
      <x:c r="P382" s="40" t="str">
        <x:f>IF(COUNT(J382:O382)=0,"",SUM(J382:O382))</x:f>
      </x:c>
      <x:c r="Q382" s="40" t="n">
        <x:v>0</x:v>
      </x:c>
      <x:c r="R382" s="40" t="n">
        <x:v>2166845</x:v>
      </x:c>
      <x:c r="S382" s="40" t="n">
        <x:v>2219139</x:v>
      </x:c>
      <x:c r="T382" s="40" t="n">
        <x:v>0</x:v>
      </x:c>
      <x:c r="U382" s="40" t="n">
        <x:v>0</x:v>
      </x:c>
      <x:c r="V382" s="49" t="str">
        <x:v>13</x:v>
      </x:c>
      <x:c r="W382" s="49" t="n">
        <x:v>1</x:v>
      </x:c>
      <x:c r="X382" s="52" t="n">
        <x:f>ROUND(100*(0.4*LN(1+Q382)/LN(1+MAX($Q$5:$Q$395))+0.35*R382/MAX($R$5:$R$395)+0.15*S382/MAX($S$5:$S$395)+IF(P382="",0,0.1*P382/MAX($P$5:$P$395)))/IF(P382="",0.9,1),1)</x:f>
        <x:v>0.7</x:v>
      </x:c>
      <x:c r="Y382" s="49" t="n">
        <x:f>RANK.EQ(X382,$X$5:$X$395,0)</x:f>
        <x:v>378</x:v>
      </x:c>
      <x:c r="Z382" s="34" t="str">
        <x:v>保持当前盟，减少迁移成本</x:v>
      </x:c>
      <x:c r="AA382" s="55" t="str">
        <x:v>六维未匹配</x:v>
      </x:c>
    </x:row>
    <x:row r="383" ht="20" customHeight="1">
      <x:c r="A383" s="46" t="n">
        <x:v>356</x:v>
      </x:c>
      <x:c r="B383" s="27" t="str">
        <x:v>名999</x:v>
      </x:c>
      <x:c r="C383" s="49" t="str">
        <x:v>燕云</x:v>
      </x:c>
      <x:c r="D383" s="49" t="str">
        <x:v>燕云</x:v>
      </x:c>
      <x:c r="E383" s="49" t="str">
        <x:v>留盟</x:v>
      </x:c>
      <x:c r="F383" s="49" t="str"/>
      <x:c r="G383" s="49"/>
      <x:c r="H383" s="37"/>
      <x:c r="I383" s="37"/>
      <x:c r="J383" s="40"/>
      <x:c r="K383" s="40"/>
      <x:c r="L383" s="40"/>
      <x:c r="M383" s="40"/>
      <x:c r="N383" s="40"/>
      <x:c r="O383" s="40"/>
      <x:c r="P383" s="40" t="str">
        <x:f>IF(COUNT(J383:O383)=0,"",SUM(J383:O383))</x:f>
      </x:c>
      <x:c r="Q383" s="40" t="n">
        <x:v>0</x:v>
      </x:c>
      <x:c r="R383" s="40" t="n">
        <x:v>1603504</x:v>
      </x:c>
      <x:c r="S383" s="40" t="n">
        <x:v>1715084</x:v>
      </x:c>
      <x:c r="T383" s="40" t="n">
        <x:v>0</x:v>
      </x:c>
      <x:c r="U383" s="40" t="n">
        <x:v>0</x:v>
      </x:c>
      <x:c r="V383" s="49" t="str">
        <x:v>14</x:v>
      </x:c>
      <x:c r="W383" s="49" t="n">
        <x:v>1</x:v>
      </x:c>
      <x:c r="X383" s="52" t="n">
        <x:f>ROUND(100*(0.4*LN(1+Q383)/LN(1+MAX($Q$5:$Q$395))+0.35*R383/MAX($R$5:$R$395)+0.15*S383/MAX($S$5:$S$395)+IF(P383="",0,0.1*P383/MAX($P$5:$P$395)))/IF(P383="",0.9,1),1)</x:f>
        <x:v>0.5</x:v>
      </x:c>
      <x:c r="Y383" s="49" t="n">
        <x:f>RANK.EQ(X383,$X$5:$X$395,0)</x:f>
        <x:v>379</x:v>
      </x:c>
      <x:c r="Z383" s="34" t="str">
        <x:v>保持当前盟，减少迁移成本</x:v>
      </x:c>
      <x:c r="AA383" s="55" t="str">
        <x:v>六维未匹配</x:v>
      </x:c>
    </x:row>
    <x:row r="384" ht="20" customHeight="1">
      <x:c r="A384" s="46" t="n">
        <x:v>360</x:v>
      </x:c>
      <x:c r="B384" s="27" t="str">
        <x:v>帝心之神</x:v>
      </x:c>
      <x:c r="C384" s="49" t="str">
        <x:v>燕云</x:v>
      </x:c>
      <x:c r="D384" s="49" t="str">
        <x:v>燕云</x:v>
      </x:c>
      <x:c r="E384" s="49" t="str">
        <x:v>留盟</x:v>
      </x:c>
      <x:c r="F384" s="49" t="str"/>
      <x:c r="G384" s="49"/>
      <x:c r="H384" s="37"/>
      <x:c r="I384" s="37"/>
      <x:c r="J384" s="40"/>
      <x:c r="K384" s="40"/>
      <x:c r="L384" s="40"/>
      <x:c r="M384" s="40"/>
      <x:c r="N384" s="40"/>
      <x:c r="O384" s="40"/>
      <x:c r="P384" s="40" t="str">
        <x:f>IF(COUNT(J384:O384)=0,"",SUM(J384:O384))</x:f>
      </x:c>
      <x:c r="Q384" s="40" t="n">
        <x:v>0</x:v>
      </x:c>
      <x:c r="R384" s="40" t="n">
        <x:v>1609300</x:v>
      </x:c>
      <x:c r="S384" s="40" t="n">
        <x:v>1614670</x:v>
      </x:c>
      <x:c r="T384" s="40" t="n">
        <x:v>0</x:v>
      </x:c>
      <x:c r="U384" s="40" t="n">
        <x:v>0</x:v>
      </x:c>
      <x:c r="V384" s="49" t="str">
        <x:v>12</x:v>
      </x:c>
      <x:c r="W384" s="49" t="n">
        <x:v>1</x:v>
      </x:c>
      <x:c r="X384" s="52" t="n">
        <x:f>ROUND(100*(0.4*LN(1+Q384)/LN(1+MAX($Q$5:$Q$395))+0.35*R384/MAX($R$5:$R$395)+0.15*S384/MAX($S$5:$S$395)+IF(P384="",0,0.1*P384/MAX($P$5:$P$395)))/IF(P384="",0.9,1),1)</x:f>
        <x:v>0.5</x:v>
      </x:c>
      <x:c r="Y384" s="49" t="n">
        <x:f>RANK.EQ(X384,$X$5:$X$395,0)</x:f>
        <x:v>379</x:v>
      </x:c>
      <x:c r="Z384" s="34" t="str">
        <x:v>保持当前盟，减少迁移成本</x:v>
      </x:c>
      <x:c r="AA384" s="55" t="str">
        <x:v>六维未匹配</x:v>
      </x:c>
    </x:row>
    <x:row r="385" ht="20" customHeight="1">
      <x:c r="A385" s="46" t="n">
        <x:v>346</x:v>
      </x:c>
      <x:c r="B385" s="27" t="str">
        <x:v>西圣地在</x:v>
      </x:c>
      <x:c r="C385" s="49" t="str">
        <x:v>燕云</x:v>
      </x:c>
      <x:c r="D385" s="49" t="str">
        <x:v>燕云</x:v>
      </x:c>
      <x:c r="E385" s="49" t="str">
        <x:v>留盟</x:v>
      </x:c>
      <x:c r="F385" s="49" t="str"/>
      <x:c r="G385" s="49"/>
      <x:c r="H385" s="37"/>
      <x:c r="I385" s="37"/>
      <x:c r="J385" s="40"/>
      <x:c r="K385" s="40"/>
      <x:c r="L385" s="40"/>
      <x:c r="M385" s="40"/>
      <x:c r="N385" s="40"/>
      <x:c r="O385" s="40"/>
      <x:c r="P385" s="40" t="str">
        <x:f>IF(COUNT(J385:O385)=0,"",SUM(J385:O385))</x:f>
      </x:c>
      <x:c r="Q385" s="40" t="n">
        <x:v>0</x:v>
      </x:c>
      <x:c r="R385" s="40" t="n">
        <x:v>1437328</x:v>
      </x:c>
      <x:c r="S385" s="40" t="n">
        <x:v>1437334</x:v>
      </x:c>
      <x:c r="T385" s="40" t="n">
        <x:v>0</x:v>
      </x:c>
      <x:c r="U385" s="40" t="n">
        <x:v>0</x:v>
      </x:c>
      <x:c r="V385" s="49" t="str">
        <x:v>10</x:v>
      </x:c>
      <x:c r="W385" s="49" t="n">
        <x:v>2</x:v>
      </x:c>
      <x:c r="X385" s="52" t="n">
        <x:f>ROUND(100*(0.4*LN(1+Q385)/LN(1+MAX($Q$5:$Q$395))+0.35*R385/MAX($R$5:$R$395)+0.15*S385/MAX($S$5:$S$395)+IF(P385="",0,0.1*P385/MAX($P$5:$P$395)))/IF(P385="",0.9,1),1)</x:f>
        <x:v>0.5</x:v>
      </x:c>
      <x:c r="Y385" s="49" t="n">
        <x:f>RANK.EQ(X385,$X$5:$X$395,0)</x:f>
        <x:v>379</x:v>
      </x:c>
      <x:c r="Z385" s="34" t="str">
        <x:v>保持当前盟，减少迁移成本</x:v>
      </x:c>
      <x:c r="AA385" s="55" t="str">
        <x:v>六维未匹配</x:v>
      </x:c>
    </x:row>
    <x:row r="386" ht="20" customHeight="1">
      <x:c r="A386" s="46" t="n">
        <x:v>369</x:v>
      </x:c>
      <x:c r="B386" s="27" t="str">
        <x:v>猫猫钓鱼</x:v>
      </x:c>
      <x:c r="C386" s="49" t="str">
        <x:v>燕云</x:v>
      </x:c>
      <x:c r="D386" s="49" t="str">
        <x:v>燕云</x:v>
      </x:c>
      <x:c r="E386" s="49" t="str">
        <x:v>留盟</x:v>
      </x:c>
      <x:c r="F386" s="49" t="str"/>
      <x:c r="G386" s="49"/>
      <x:c r="H386" s="37"/>
      <x:c r="I386" s="37"/>
      <x:c r="J386" s="40"/>
      <x:c r="K386" s="40"/>
      <x:c r="L386" s="40"/>
      <x:c r="M386" s="40"/>
      <x:c r="N386" s="40"/>
      <x:c r="O386" s="40"/>
      <x:c r="P386" s="40" t="str">
        <x:f>IF(COUNT(J386:O386)=0,"",SUM(J386:O386))</x:f>
      </x:c>
      <x:c r="Q386" s="40" t="n">
        <x:v>0</x:v>
      </x:c>
      <x:c r="R386" s="40" t="n">
        <x:v>1323645</x:v>
      </x:c>
      <x:c r="S386" s="40" t="n">
        <x:v>1437296</x:v>
      </x:c>
      <x:c r="T386" s="40" t="n">
        <x:v>0</x:v>
      </x:c>
      <x:c r="U386" s="40" t="n">
        <x:v>0</x:v>
      </x:c>
      <x:c r="V386" s="49" t="str">
        <x:v>14</x:v>
      </x:c>
      <x:c r="W386" s="49" t="n">
        <x:v>1</x:v>
      </x:c>
      <x:c r="X386" s="52" t="n">
        <x:f>ROUND(100*(0.4*LN(1+Q386)/LN(1+MAX($Q$5:$Q$395))+0.35*R386/MAX($R$5:$R$395)+0.15*S386/MAX($S$5:$S$395)+IF(P386="",0,0.1*P386/MAX($P$5:$P$395)))/IF(P386="",0.9,1),1)</x:f>
        <x:v>0.4</x:v>
      </x:c>
      <x:c r="Y386" s="49" t="n">
        <x:f>RANK.EQ(X386,$X$5:$X$395,0)</x:f>
        <x:v>382</x:v>
      </x:c>
      <x:c r="Z386" s="34" t="str">
        <x:v>保持当前盟，减少迁移成本</x:v>
      </x:c>
      <x:c r="AA386" s="55" t="str">
        <x:v>六维未匹配</x:v>
      </x:c>
    </x:row>
    <x:row r="387" ht="20" customHeight="1">
      <x:c r="A387" s="46" t="n">
        <x:v>377</x:v>
      </x:c>
      <x:c r="B387" s="27" t="str">
        <x:v>小心白眼郎</x:v>
      </x:c>
      <x:c r="C387" s="49" t="str">
        <x:v>燕云</x:v>
      </x:c>
      <x:c r="D387" s="49" t="str">
        <x:v>燕云</x:v>
      </x:c>
      <x:c r="E387" s="49" t="str">
        <x:v>留盟</x:v>
      </x:c>
      <x:c r="F387" s="49" t="str"/>
      <x:c r="G387" s="49"/>
      <x:c r="H387" s="37"/>
      <x:c r="I387" s="37"/>
      <x:c r="J387" s="40"/>
      <x:c r="K387" s="40"/>
      <x:c r="L387" s="40"/>
      <x:c r="M387" s="40"/>
      <x:c r="N387" s="40"/>
      <x:c r="O387" s="40"/>
      <x:c r="P387" s="40" t="str">
        <x:f>IF(COUNT(J387:O387)=0,"",SUM(J387:O387))</x:f>
      </x:c>
      <x:c r="Q387" s="40" t="n">
        <x:v>0</x:v>
      </x:c>
      <x:c r="R387" s="40" t="n">
        <x:v>1302659</x:v>
      </x:c>
      <x:c r="S387" s="40" t="n">
        <x:v>1334951</x:v>
      </x:c>
      <x:c r="T387" s="40" t="n">
        <x:v>0</x:v>
      </x:c>
      <x:c r="U387" s="40" t="n">
        <x:v>21360</x:v>
      </x:c>
      <x:c r="V387" s="49" t="str">
        <x:v>12</x:v>
      </x:c>
      <x:c r="W387" s="49" t="n">
        <x:v>2</x:v>
      </x:c>
      <x:c r="X387" s="52" t="n">
        <x:f>ROUND(100*(0.4*LN(1+Q387)/LN(1+MAX($Q$5:$Q$395))+0.35*R387/MAX($R$5:$R$395)+0.15*S387/MAX($S$5:$S$395)+IF(P387="",0,0.1*P387/MAX($P$5:$P$395)))/IF(P387="",0.9,1),1)</x:f>
        <x:v>0.4</x:v>
      </x:c>
      <x:c r="Y387" s="49" t="n">
        <x:f>RANK.EQ(X387,$X$5:$X$395,0)</x:f>
        <x:v>382</x:v>
      </x:c>
      <x:c r="Z387" s="34" t="str">
        <x:v>保持当前盟，减少迁移成本</x:v>
      </x:c>
      <x:c r="AA387" s="55" t="str">
        <x:v>六维未匹配</x:v>
      </x:c>
    </x:row>
    <x:row r="388" ht="20" customHeight="1">
      <x:c r="A388" s="46" t="n">
        <x:v>347</x:v>
      </x:c>
      <x:c r="B388" s="27" t="str">
        <x:v>主公9324155908257</x:v>
      </x:c>
      <x:c r="C388" s="49" t="str">
        <x:v>燕云</x:v>
      </x:c>
      <x:c r="D388" s="49" t="str">
        <x:v>燕云</x:v>
      </x:c>
      <x:c r="E388" s="49" t="str">
        <x:v>留盟</x:v>
      </x:c>
      <x:c r="F388" s="49" t="str"/>
      <x:c r="G388" s="49"/>
      <x:c r="H388" s="37"/>
      <x:c r="I388" s="37"/>
      <x:c r="J388" s="40"/>
      <x:c r="K388" s="40"/>
      <x:c r="L388" s="40"/>
      <x:c r="M388" s="40"/>
      <x:c r="N388" s="40"/>
      <x:c r="O388" s="40"/>
      <x:c r="P388" s="40" t="str">
        <x:f>IF(COUNT(J388:O388)=0,"",SUM(J388:O388))</x:f>
      </x:c>
      <x:c r="Q388" s="40" t="n">
        <x:v>0</x:v>
      </x:c>
      <x:c r="R388" s="40" t="n">
        <x:v>841932</x:v>
      </x:c>
      <x:c r="S388" s="40" t="n">
        <x:v>841946</x:v>
      </x:c>
      <x:c r="T388" s="40" t="n">
        <x:v>0</x:v>
      </x:c>
      <x:c r="U388" s="40" t="n">
        <x:v>0</x:v>
      </x:c>
      <x:c r="V388" s="49" t="str">
        <x:v>10</x:v>
      </x:c>
      <x:c r="W388" s="49" t="n">
        <x:v>1</x:v>
      </x:c>
      <x:c r="X388" s="52" t="n">
        <x:f>ROUND(100*(0.4*LN(1+Q388)/LN(1+MAX($Q$5:$Q$395))+0.35*R388/MAX($R$5:$R$395)+0.15*S388/MAX($S$5:$S$395)+IF(P388="",0,0.1*P388/MAX($P$5:$P$395)))/IF(P388="",0.9,1),1)</x:f>
        <x:v>0.3</x:v>
      </x:c>
      <x:c r="Y388" s="49" t="n">
        <x:f>RANK.EQ(X388,$X$5:$X$395,0)</x:f>
        <x:v>384</x:v>
      </x:c>
      <x:c r="Z388" s="34" t="str">
        <x:v>保持当前盟，减少迁移成本</x:v>
      </x:c>
      <x:c r="AA388" s="55" t="str">
        <x:v>六维未匹配</x:v>
      </x:c>
    </x:row>
    <x:row r="389" ht="20" customHeight="1">
      <x:c r="A389" s="46" t="n">
        <x:v>376</x:v>
      </x:c>
      <x:c r="B389" s="27" t="str">
        <x:v>十六的六</x:v>
      </x:c>
      <x:c r="C389" s="49" t="str">
        <x:v>燕云</x:v>
      </x:c>
      <x:c r="D389" s="49" t="str">
        <x:v>燕云</x:v>
      </x:c>
      <x:c r="E389" s="49" t="str">
        <x:v>留盟</x:v>
      </x:c>
      <x:c r="F389" s="49" t="str"/>
      <x:c r="G389" s="49"/>
      <x:c r="H389" s="37"/>
      <x:c r="I389" s="37"/>
      <x:c r="J389" s="40"/>
      <x:c r="K389" s="40"/>
      <x:c r="L389" s="40"/>
      <x:c r="M389" s="40"/>
      <x:c r="N389" s="40"/>
      <x:c r="O389" s="40"/>
      <x:c r="P389" s="40" t="str">
        <x:f>IF(COUNT(J389:O389)=0,"",SUM(J389:O389))</x:f>
      </x:c>
      <x:c r="Q389" s="40" t="n">
        <x:v>0</x:v>
      </x:c>
      <x:c r="R389" s="40" t="n">
        <x:v>737225</x:v>
      </x:c>
      <x:c r="S389" s="40" t="n">
        <x:v>737975</x:v>
      </x:c>
      <x:c r="T389" s="40" t="n">
        <x:v>0</x:v>
      </x:c>
      <x:c r="U389" s="40" t="n">
        <x:v>0</x:v>
      </x:c>
      <x:c r="V389" s="49" t="str">
        <x:v>10</x:v>
      </x:c>
      <x:c r="W389" s="49" t="n">
        <x:v>1</x:v>
      </x:c>
      <x:c r="X389" s="52" t="n">
        <x:f>ROUND(100*(0.4*LN(1+Q389)/LN(1+MAX($Q$5:$Q$395))+0.35*R389/MAX($R$5:$R$395)+0.15*S389/MAX($S$5:$S$395)+IF(P389="",0,0.1*P389/MAX($P$5:$P$395)))/IF(P389="",0.9,1),1)</x:f>
        <x:v>0.2</x:v>
      </x:c>
      <x:c r="Y389" s="49" t="n">
        <x:f>RANK.EQ(X389,$X$5:$X$395,0)</x:f>
        <x:v>385</x:v>
      </x:c>
      <x:c r="Z389" s="34" t="str">
        <x:v>保持当前盟，减少迁移成本</x:v>
      </x:c>
      <x:c r="AA389" s="55" t="str">
        <x:v>六维未匹配</x:v>
      </x:c>
    </x:row>
    <x:row r="390" ht="20" customHeight="1">
      <x:c r="A390" s="46" t="n">
        <x:v>386</x:v>
      </x:c>
      <x:c r="B390" s="27" t="str">
        <x:v>睡觉大王</x:v>
      </x:c>
      <x:c r="C390" s="49" t="str">
        <x:v>燕云</x:v>
      </x:c>
      <x:c r="D390" s="49" t="str">
        <x:v>燕云</x:v>
      </x:c>
      <x:c r="E390" s="49" t="str">
        <x:v>留盟</x:v>
      </x:c>
      <x:c r="F390" s="49" t="str"/>
      <x:c r="G390" s="49"/>
      <x:c r="H390" s="37"/>
      <x:c r="I390" s="37"/>
      <x:c r="J390" s="40"/>
      <x:c r="K390" s="40"/>
      <x:c r="L390" s="40"/>
      <x:c r="M390" s="40"/>
      <x:c r="N390" s="40"/>
      <x:c r="O390" s="40"/>
      <x:c r="P390" s="40" t="str">
        <x:f>IF(COUNT(J390:O390)=0,"",SUM(J390:O390))</x:f>
      </x:c>
      <x:c r="Q390" s="40" t="n">
        <x:v>0</x:v>
      </x:c>
      <x:c r="R390" s="40" t="n">
        <x:v>561778</x:v>
      </x:c>
      <x:c r="S390" s="40" t="n">
        <x:v>634656</x:v>
      </x:c>
      <x:c r="T390" s="40" t="n">
        <x:v>0</x:v>
      </x:c>
      <x:c r="U390" s="40" t="n">
        <x:v>16320</x:v>
      </x:c>
      <x:c r="V390" s="49" t="str">
        <x:v>11</x:v>
      </x:c>
      <x:c r="W390" s="49" t="n">
        <x:v>2</x:v>
      </x:c>
      <x:c r="X390" s="52" t="n">
        <x:f>ROUND(100*(0.4*LN(1+Q390)/LN(1+MAX($Q$5:$Q$395))+0.35*R390/MAX($R$5:$R$395)+0.15*S390/MAX($S$5:$S$395)+IF(P390="",0,0.1*P390/MAX($P$5:$P$395)))/IF(P390="",0.9,1),1)</x:f>
        <x:v>0.2</x:v>
      </x:c>
      <x:c r="Y390" s="49" t="n">
        <x:f>RANK.EQ(X390,$X$5:$X$395,0)</x:f>
        <x:v>385</x:v>
      </x:c>
      <x:c r="Z390" s="34" t="str">
        <x:v>保持当前盟，减少迁移成本</x:v>
      </x:c>
      <x:c r="AA390" s="55" t="str">
        <x:v>六维未匹配</x:v>
      </x:c>
    </x:row>
    <x:row r="391" ht="20" customHeight="1">
      <x:c r="A391" s="46" t="n">
        <x:v>373</x:v>
      </x:c>
      <x:c r="B391" s="27" t="str">
        <x:v>忘尘释然</x:v>
      </x:c>
      <x:c r="C391" s="49" t="str">
        <x:v>燕云</x:v>
      </x:c>
      <x:c r="D391" s="49" t="str">
        <x:v>燕云</x:v>
      </x:c>
      <x:c r="E391" s="49" t="str">
        <x:v>留盟</x:v>
      </x:c>
      <x:c r="F391" s="49" t="str"/>
      <x:c r="G391" s="49"/>
      <x:c r="H391" s="37"/>
      <x:c r="I391" s="37"/>
      <x:c r="J391" s="40"/>
      <x:c r="K391" s="40"/>
      <x:c r="L391" s="40"/>
      <x:c r="M391" s="40"/>
      <x:c r="N391" s="40"/>
      <x:c r="O391" s="40"/>
      <x:c r="P391" s="40" t="str">
        <x:f>IF(COUNT(J391:O391)=0,"",SUM(J391:O391))</x:f>
      </x:c>
      <x:c r="Q391" s="40" t="n">
        <x:v>0</x:v>
      </x:c>
      <x:c r="R391" s="40" t="n">
        <x:v>552689</x:v>
      </x:c>
      <x:c r="S391" s="40" t="n">
        <x:v>554157</x:v>
      </x:c>
      <x:c r="T391" s="40" t="n">
        <x:v>0</x:v>
      </x:c>
      <x:c r="U391" s="40" t="n">
        <x:v>5760</x:v>
      </x:c>
      <x:c r="V391" s="49" t="str">
        <x:v>9</x:v>
      </x:c>
      <x:c r="W391" s="49" t="n">
        <x:v>1</x:v>
      </x:c>
      <x:c r="X391" s="52" t="n">
        <x:f>ROUND(100*(0.4*LN(1+Q391)/LN(1+MAX($Q$5:$Q$395))+0.35*R391/MAX($R$5:$R$395)+0.15*S391/MAX($S$5:$S$395)+IF(P391="",0,0.1*P391/MAX($P$5:$P$395)))/IF(P391="",0.9,1),1)</x:f>
        <x:v>0.2</x:v>
      </x:c>
      <x:c r="Y391" s="49" t="n">
        <x:f>RANK.EQ(X391,$X$5:$X$395,0)</x:f>
        <x:v>385</x:v>
      </x:c>
      <x:c r="Z391" s="34" t="str">
        <x:v>保持当前盟，减少迁移成本</x:v>
      </x:c>
      <x:c r="AA391" s="55" t="str">
        <x:v>六维未匹配</x:v>
      </x:c>
    </x:row>
    <x:row r="392" ht="20" customHeight="1">
      <x:c r="A392" s="46" t="n">
        <x:v>349</x:v>
      </x:c>
      <x:c r="B392" s="27" t="str">
        <x:v>极狐里</x:v>
      </x:c>
      <x:c r="C392" s="49" t="str">
        <x:v>燕云</x:v>
      </x:c>
      <x:c r="D392" s="49" t="str">
        <x:v>燕云</x:v>
      </x:c>
      <x:c r="E392" s="49" t="str">
        <x:v>留盟</x:v>
      </x:c>
      <x:c r="F392" s="49" t="str"/>
      <x:c r="G392" s="49"/>
      <x:c r="H392" s="37"/>
      <x:c r="I392" s="37"/>
      <x:c r="J392" s="40"/>
      <x:c r="K392" s="40"/>
      <x:c r="L392" s="40"/>
      <x:c r="M392" s="40"/>
      <x:c r="N392" s="40"/>
      <x:c r="O392" s="40"/>
      <x:c r="P392" s="40" t="str">
        <x:f>IF(COUNT(J392:O392)=0,"",SUM(J392:O392))</x:f>
      </x:c>
      <x:c r="Q392" s="40" t="n">
        <x:v>0</x:v>
      </x:c>
      <x:c r="R392" s="40" t="n">
        <x:v>540883</x:v>
      </x:c>
      <x:c r="S392" s="40" t="n">
        <x:v>541035</x:v>
      </x:c>
      <x:c r="T392" s="40" t="n">
        <x:v>0</x:v>
      </x:c>
      <x:c r="U392" s="40" t="n">
        <x:v>0</x:v>
      </x:c>
      <x:c r="V392" s="49" t="str">
        <x:v>10</x:v>
      </x:c>
      <x:c r="W392" s="49" t="n">
        <x:v>2</x:v>
      </x:c>
      <x:c r="X392" s="52" t="n">
        <x:f>ROUND(100*(0.4*LN(1+Q392)/LN(1+MAX($Q$5:$Q$395))+0.35*R392/MAX($R$5:$R$395)+0.15*S392/MAX($S$5:$S$395)+IF(P392="",0,0.1*P392/MAX($P$5:$P$395)))/IF(P392="",0.9,1),1)</x:f>
        <x:v>0.2</x:v>
      </x:c>
      <x:c r="Y392" s="49" t="n">
        <x:f>RANK.EQ(X392,$X$5:$X$395,0)</x:f>
        <x:v>385</x:v>
      </x:c>
      <x:c r="Z392" s="34" t="str">
        <x:v>保持当前盟，减少迁移成本</x:v>
      </x:c>
      <x:c r="AA392" s="55" t="str">
        <x:v>六维未匹配</x:v>
      </x:c>
    </x:row>
    <x:row r="393" ht="20" customHeight="1">
      <x:c r="A393" s="46" t="n">
        <x:v>362</x:v>
      </x:c>
      <x:c r="B393" s="27" t="str">
        <x:v>主公9367155954965</x:v>
      </x:c>
      <x:c r="C393" s="49" t="str">
        <x:v>燕云</x:v>
      </x:c>
      <x:c r="D393" s="49" t="str">
        <x:v>候补</x:v>
      </x:c>
      <x:c r="E393" s="49" t="str">
        <x:v>候补/待确认</x:v>
      </x:c>
      <x:c r="F393" s="49" t="str"/>
      <x:c r="G393" s="49"/>
      <x:c r="H393" s="37"/>
      <x:c r="I393" s="37"/>
      <x:c r="J393" s="40"/>
      <x:c r="K393" s="40"/>
      <x:c r="L393" s="40"/>
      <x:c r="M393" s="40"/>
      <x:c r="N393" s="40"/>
      <x:c r="O393" s="40"/>
      <x:c r="P393" s="40" t="str">
        <x:f>IF(COUNT(J393:O393)=0,"",SUM(J393:O393))</x:f>
      </x:c>
      <x:c r="Q393" s="40" t="n">
        <x:v>0</x:v>
      </x:c>
      <x:c r="R393" s="40" t="n">
        <x:v>377749</x:v>
      </x:c>
      <x:c r="S393" s="40" t="n">
        <x:v>377809</x:v>
      </x:c>
      <x:c r="T393" s="40" t="n">
        <x:v>0</x:v>
      </x:c>
      <x:c r="U393" s="40" t="n">
        <x:v>0</x:v>
      </x:c>
      <x:c r="V393" s="49" t="str">
        <x:v>9</x:v>
      </x:c>
      <x:c r="W393" s="49" t="n">
        <x:v>2</x:v>
      </x:c>
      <x:c r="X393" s="52" t="n">
        <x:f>ROUND(100*(0.4*LN(1+Q393)/LN(1+MAX($Q$5:$Q$395))+0.35*R393/MAX($R$5:$R$395)+0.15*S393/MAX($S$5:$S$395)+IF(P393="",0,0.1*P393/MAX($P$5:$P$395)))/IF(P393="",0.9,1),1)</x:f>
        <x:v>0.1</x:v>
      </x:c>
      <x:c r="Y393" s="49" t="n">
        <x:f>RANK.EQ(X393,$X$5:$X$395,0)</x:f>
        <x:v>389</x:v>
      </x:c>
      <x:c r="Z393" s="34" t="str">
        <x:v>低功勋/低实力，建议作为候补、小号或另行安置</x:v>
      </x:c>
      <x:c r="AA393" s="55" t="str">
        <x:v>六维未匹配</x:v>
      </x:c>
    </x:row>
    <x:row r="394" ht="20" customHeight="1">
      <x:c r="A394" s="46" t="n">
        <x:v>370</x:v>
      </x:c>
      <x:c r="B394" s="27" t="str">
        <x:v>主公973155818945</x:v>
      </x:c>
      <x:c r="C394" s="49" t="str">
        <x:v>燕云</x:v>
      </x:c>
      <x:c r="D394" s="49" t="str">
        <x:v>候补</x:v>
      </x:c>
      <x:c r="E394" s="49" t="str">
        <x:v>候补/待确认</x:v>
      </x:c>
      <x:c r="F394" s="49" t="str"/>
      <x:c r="G394" s="49"/>
      <x:c r="H394" s="37"/>
      <x:c r="I394" s="37"/>
      <x:c r="J394" s="40"/>
      <x:c r="K394" s="40"/>
      <x:c r="L394" s="40"/>
      <x:c r="M394" s="40"/>
      <x:c r="N394" s="40"/>
      <x:c r="O394" s="40"/>
      <x:c r="P394" s="40" t="str">
        <x:f>IF(COUNT(J394:O394)=0,"",SUM(J394:O394))</x:f>
      </x:c>
      <x:c r="Q394" s="40" t="n">
        <x:v>0</x:v>
      </x:c>
      <x:c r="R394" s="40" t="n">
        <x:v>300896</x:v>
      </x:c>
      <x:c r="S394" s="40" t="n">
        <x:v>301491</x:v>
      </x:c>
      <x:c r="T394" s="40" t="n">
        <x:v>0</x:v>
      </x:c>
      <x:c r="U394" s="40" t="n">
        <x:v>0</x:v>
      </x:c>
      <x:c r="V394" s="49" t="str">
        <x:v>8</x:v>
      </x:c>
      <x:c r="W394" s="49" t="n">
        <x:v>1</x:v>
      </x:c>
      <x:c r="X394" s="52" t="n">
        <x:f>ROUND(100*(0.4*LN(1+Q394)/LN(1+MAX($Q$5:$Q$395))+0.35*R394/MAX($R$5:$R$395)+0.15*S394/MAX($S$5:$S$395)+IF(P394="",0,0.1*P394/MAX($P$5:$P$395)))/IF(P394="",0.9,1),1)</x:f>
        <x:v>0.1</x:v>
      </x:c>
      <x:c r="Y394" s="49" t="n">
        <x:f>RANK.EQ(X394,$X$5:$X$395,0)</x:f>
        <x:v>389</x:v>
      </x:c>
      <x:c r="Z394" s="34" t="str">
        <x:v>低功勋/低实力，建议作为候补、小号或另行安置</x:v>
      </x:c>
      <x:c r="AA394" s="55" t="str">
        <x:v>六维未匹配</x:v>
      </x:c>
    </x:row>
    <x:row r="395" ht="20" customHeight="1">
      <x:c r="A395" s="47" t="n">
        <x:v>374</x:v>
      </x:c>
      <x:c r="B395" s="30" t="str">
        <x:v>橙橙逸</x:v>
      </x:c>
      <x:c r="C395" s="50" t="str">
        <x:v>燕云</x:v>
      </x:c>
      <x:c r="D395" s="50" t="str">
        <x:v>候补</x:v>
      </x:c>
      <x:c r="E395" s="50" t="str">
        <x:v>候补/待确认</x:v>
      </x:c>
      <x:c r="F395" s="50" t="str"/>
      <x:c r="G395" s="50"/>
      <x:c r="H395" s="38"/>
      <x:c r="I395" s="38"/>
      <x:c r="J395" s="41"/>
      <x:c r="K395" s="41"/>
      <x:c r="L395" s="41"/>
      <x:c r="M395" s="41"/>
      <x:c r="N395" s="41"/>
      <x:c r="O395" s="41"/>
      <x:c r="P395" s="41" t="str">
        <x:f>IF(COUNT(J395:O395)=0,"",SUM(J395:O395))</x:f>
      </x:c>
      <x:c r="Q395" s="41" t="n">
        <x:v>0</x:v>
      </x:c>
      <x:c r="R395" s="41" t="n">
        <x:v>233920</x:v>
      </x:c>
      <x:c r="S395" s="41" t="n">
        <x:v>234160</x:v>
      </x:c>
      <x:c r="T395" s="41" t="n">
        <x:v>0</x:v>
      </x:c>
      <x:c r="U395" s="41" t="n">
        <x:v>5280</x:v>
      </x:c>
      <x:c r="V395" s="50" t="str">
        <x:v>9</x:v>
      </x:c>
      <x:c r="W395" s="50" t="n">
        <x:v>1</x:v>
      </x:c>
      <x:c r="X395" s="53" t="n">
        <x:f>ROUND(100*(0.4*LN(1+Q395)/LN(1+MAX($Q$5:$Q$395))+0.35*R395/MAX($R$5:$R$395)+0.15*S395/MAX($S$5:$S$395)+IF(P395="",0,0.1*P395/MAX($P$5:$P$395)))/IF(P395="",0.9,1),1)</x:f>
        <x:v>0.1</x:v>
      </x:c>
      <x:c r="Y395" s="50" t="n">
        <x:f>RANK.EQ(X395,$X$5:$X$395,0)</x:f>
        <x:v>389</x:v>
      </x:c>
      <x:c r="Z395" s="35" t="str">
        <x:v>低功勋/低实力，建议作为候补、小号或另行安置</x:v>
      </x:c>
      <x:c r="AA395" s="56" t="str">
        <x:v>六维未匹配</x:v>
      </x:c>
    </x:row>
  </x:sheetData>
  <x:mergeCells>
    <x:mergeCell ref="A1:AA1"/>
    <x:mergeCell ref="A2:AA2"/>
  </x:mergeCells>
  <x:conditionalFormatting sqref="D5:D395">
    <x:cfRule type="containsText" dxfId="0" priority="1" operator="containsText" text="兰亭"/>
    <x:cfRule type="containsText" dxfId="2" priority="3" operator="containsText" text="候补"/>
  </x:conditionalFormatting>
  <x:conditionalFormatting sqref="E5:E395">
    <x:cfRule type="containsText" dxfId="1" priority="2" operator="containsText" text="→"/>
  </x:conditionalFormatting>
  <x:pageMargins left="0.7" right="0.7" top="0.75" bottom="0.75" header="0.3" footer="0.3"/>
  <x:tableParts count="1">
    <x:tablePart xmlns:r="http://schemas.openxmlformats.org/officeDocument/2006/relationships" r:id="R470e0e8cfc3045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5" hidden="0" customWidth="1"/>
    <x:col min="5" max="5" width="16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1" hidden="0" customWidth="1"/>
    <x:col min="17" max="17" width="11" hidden="0" customWidth="1"/>
    <x:col min="18" max="18" width="10" hidden="0" customWidth="1"/>
    <x:col min="19" max="19" width="38" hidden="0" customWidth="1"/>
  </x:cols>
  <x:sheetData>
    <x:row r="1" ht="30" customHeight="1">
      <x:c r="A1" s="3" t="str">
        <x:v>兰亭一盟｜97人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1" customHeight="1">
      <x:c r="A2" s="7" t="str">
        <x:v>战斗主盟：保留75名现兰亭高评分成员，并从其他盟补强22名综合战力靠前成员。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2" customHeight="1">
      <x:c r="A4" s="13" t="str">
        <x:v>成员名称</x:v>
      </x:c>
      <x:c r="B4" s="13" t="str">
        <x:v>当前盟</x:v>
      </x:c>
      <x:c r="C4" s="13" t="str">
        <x:v>建议盟</x:v>
      </x:c>
      <x:c r="D4" s="13" t="str">
        <x:v>迁盟动作</x:v>
      </x:c>
      <x:c r="E4" s="13" t="str">
        <x:v>总功勋</x:v>
      </x:c>
      <x:c r="F4" s="13" t="str">
        <x:v>实力</x:v>
      </x:c>
      <x:c r="G4" s="13" t="str">
        <x:v>战力</x:v>
      </x:c>
      <x:c r="H4" s="13" t="str">
        <x:v>最高集结</x:v>
      </x:c>
      <x:c r="I4" s="13" t="str">
        <x:v>国家队集结</x:v>
      </x:c>
      <x:c r="J4" s="13" t="str">
        <x:v>步防</x:v>
      </x:c>
      <x:c r="K4" s="13" t="str">
        <x:v>步生</x:v>
      </x:c>
      <x:c r="L4" s="13" t="str">
        <x:v>骑攻</x:v>
      </x:c>
      <x:c r="M4" s="13" t="str">
        <x:v>骑破</x:v>
      </x:c>
      <x:c r="N4" s="13" t="str">
        <x:v>弓攻</x:v>
      </x:c>
      <x:c r="O4" s="13" t="str">
        <x:v>弓破</x:v>
      </x:c>
      <x:c r="P4" s="13" t="str">
        <x:v>六维和</x:v>
      </x:c>
      <x:c r="Q4" s="13" t="str">
        <x:v>战斗评分</x:v>
      </x:c>
      <x:c r="R4" s="13" t="str">
        <x:v>战斗排名</x:v>
      </x:c>
      <x:c r="S4" s="13" t="str">
        <x:v>分配理由</x:v>
      </x:c>
    </x:row>
    <x:row r="5" ht="20" customHeight="1">
      <x:c r="A5" s="23" t="str">
        <x:f>IF('迁盟总表'!B5="","",'迁盟总表'!B5)</x:f>
        <x:v>三千丶</x:v>
      </x:c>
      <x:c r="B5" s="24" t="str">
        <x:f>IF('迁盟总表'!C5="","",'迁盟总表'!C5)</x:f>
        <x:v>兰亭</x:v>
      </x:c>
      <x:c r="C5" s="57" t="str">
        <x:f>IF('迁盟总表'!D5="","",'迁盟总表'!D5)</x:f>
        <x:v>兰亭</x:v>
      </x:c>
      <x:c r="D5" s="24" t="str">
        <x:f>IF('迁盟总表'!E5="","",'迁盟总表'!E5)</x:f>
        <x:v>留盟</x:v>
      </x:c>
      <x:c r="E5" s="39" t="n">
        <x:f>IF('迁盟总表'!Q5="","",'迁盟总表'!Q5)</x:f>
        <x:v>13964250628</x:v>
      </x:c>
      <x:c r="F5" s="39" t="n">
        <x:f>IF('迁盟总表'!R5="","",'迁盟总表'!R5)</x:f>
        <x:v>135388015</x:v>
      </x:c>
      <x:c r="G5" s="39" t="n">
        <x:f>IF('迁盟总表'!S5="","",'迁盟总表'!S5)</x:f>
        <x:v>405175336</x:v>
      </x:c>
      <x:c r="H5" s="36" t="n">
        <x:f>IF('迁盟总表'!H5="","",'迁盟总表'!H5)</x:f>
        <x:v>31.8</x:v>
      </x:c>
      <x:c r="I5" s="36" t="n">
        <x:f>IF('迁盟总表'!I5="","",'迁盟总表'!I5)</x:f>
        <x:v>28.8</x:v>
      </x:c>
      <x:c r="J5" s="39" t="n">
        <x:f>IF('迁盟总表'!J5="","",'迁盟总表'!J5)</x:f>
        <x:v>1000</x:v>
      </x:c>
      <x:c r="K5" s="39" t="n">
        <x:f>IF('迁盟总表'!K5="","",'迁盟总表'!K5)</x:f>
        <x:v>1300</x:v>
      </x:c>
      <x:c r="L5" s="39" t="n">
        <x:f>IF('迁盟总表'!L5="","",'迁盟总表'!L5)</x:f>
        <x:v>900</x:v>
      </x:c>
      <x:c r="M5" s="39" t="n">
        <x:f>IF('迁盟总表'!M5="","",'迁盟总表'!M5)</x:f>
        <x:v>1100</x:v>
      </x:c>
      <x:c r="N5" s="39" t="n">
        <x:f>IF('迁盟总表'!N5="","",'迁盟总表'!N5)</x:f>
        <x:v>900</x:v>
      </x:c>
      <x:c r="O5" s="39" t="n">
        <x:f>IF('迁盟总表'!O5="","",'迁盟总表'!O5)</x:f>
        <x:v>1200</x:v>
      </x:c>
      <x:c r="P5" s="39" t="n">
        <x:f>IF('迁盟总表'!P5="","",'迁盟总表'!P5)</x:f>
        <x:v>6400</x:v>
      </x:c>
      <x:c r="Q5" s="42" t="n">
        <x:f>IF('迁盟总表'!X5="","",'迁盟总表'!X5)</x:f>
        <x:v>96.8</x:v>
      </x:c>
      <x:c r="R5" s="24" t="n">
        <x:f>IF('迁盟总表'!Y5="","",'迁盟总表'!Y5)</x:f>
        <x:v>1</x:v>
      </x:c>
      <x:c r="S5" s="54" t="str">
        <x:f>IF('迁盟总表'!Z5="","",'迁盟总表'!Z5)</x:f>
        <x:v>保留兰亭战斗骨干</x:v>
      </x:c>
    </x:row>
    <x:row r="6" ht="20" customHeight="1">
      <x:c r="A6" s="26" t="str">
        <x:f>IF('迁盟总表'!B6="","",'迁盟总表'!B6)</x:f>
        <x:v>小王丶</x:v>
      </x:c>
      <x:c r="B6" s="27" t="str">
        <x:f>IF('迁盟总表'!C6="","",'迁盟总表'!C6)</x:f>
        <x:v>玲珑</x:v>
      </x:c>
      <x:c r="C6" s="58" t="str">
        <x:f>IF('迁盟总表'!D6="","",'迁盟总表'!D6)</x:f>
        <x:v>兰亭</x:v>
      </x:c>
      <x:c r="D6" s="27" t="str">
        <x:f>IF('迁盟总表'!E6="","",'迁盟总表'!E6)</x:f>
        <x:v>玲珑→兰亭</x:v>
      </x:c>
      <x:c r="E6" s="40" t="n">
        <x:f>IF('迁盟总表'!Q6="","",'迁盟总表'!Q6)</x:f>
        <x:v>6308918612</x:v>
      </x:c>
      <x:c r="F6" s="40" t="n">
        <x:f>IF('迁盟总表'!R6="","",'迁盟总表'!R6)</x:f>
        <x:v>121083366</x:v>
      </x:c>
      <x:c r="G6" s="40" t="n">
        <x:f>IF('迁盟总表'!S6="","",'迁盟总表'!S6)</x:f>
        <x:v>513835940</x:v>
      </x:c>
      <x:c r="H6" s="37" t="n">
        <x:f>IF('迁盟总表'!H6="","",'迁盟总表'!H6)</x:f>
        <x:v>31.8</x:v>
      </x:c>
      <x:c r="I6" s="37" t="n">
        <x:f>IF('迁盟总表'!I6="","",'迁盟总表'!I6)</x:f>
        <x:v>31.8</x:v>
      </x:c>
      <x:c r="J6" s="40" t="n">
        <x:f>IF('迁盟总表'!J6="","",'迁盟总表'!J6)</x:f>
        <x:v>1001</x:v>
      </x:c>
      <x:c r="K6" s="40" t="n">
        <x:f>IF('迁盟总表'!K6="","",'迁盟总表'!K6)</x:f>
        <x:v>1314</x:v>
      </x:c>
      <x:c r="L6" s="40" t="n">
        <x:f>IF('迁盟总表'!L6="","",'迁盟总表'!L6)</x:f>
        <x:v>821</x:v>
      </x:c>
      <x:c r="M6" s="40" t="n">
        <x:f>IF('迁盟总表'!M6="","",'迁盟总表'!M6)</x:f>
        <x:v>855</x:v>
      </x:c>
      <x:c r="N6" s="40" t="n">
        <x:f>IF('迁盟总表'!N6="","",'迁盟总表'!N6)</x:f>
        <x:v>900</x:v>
      </x:c>
      <x:c r="O6" s="40" t="n">
        <x:f>IF('迁盟总表'!O6="","",'迁盟总表'!O6)</x:f>
        <x:v>1181</x:v>
      </x:c>
      <x:c r="P6" s="40" t="n">
        <x:f>IF('迁盟总表'!P6="","",'迁盟总表'!P6)</x:f>
        <x:v>6072</x:v>
      </x:c>
      <x:c r="Q6" s="43" t="n">
        <x:f>IF('迁盟总表'!X6="","",'迁盟总表'!X6)</x:f>
        <x:v>94.4</x:v>
      </x:c>
      <x:c r="R6" s="27" t="n">
        <x:f>IF('迁盟总表'!Y6="","",'迁盟总表'!Y6)</x:f>
        <x:v>2</x:v>
      </x:c>
      <x:c r="S6" s="55" t="str">
        <x:f>IF('迁盟总表'!Z6="","",'迁盟总表'!Z6)</x:f>
        <x:v>补强一盟：总功勋、实力、战力及六维综合靠前</x:v>
      </x:c>
    </x:row>
    <x:row r="7" ht="20" customHeight="1">
      <x:c r="A7" s="26" t="str">
        <x:f>IF('迁盟总表'!B7="","",'迁盟总表'!B7)</x:f>
        <x:v>赵子龙</x:v>
      </x:c>
      <x:c r="B7" s="27" t="str">
        <x:f>IF('迁盟总表'!C7="","",'迁盟总表'!C7)</x:f>
        <x:v>兰亭</x:v>
      </x:c>
      <x:c r="C7" s="58" t="str">
        <x:f>IF('迁盟总表'!D7="","",'迁盟总表'!D7)</x:f>
        <x:v>兰亭</x:v>
      </x:c>
      <x:c r="D7" s="27" t="str">
        <x:f>IF('迁盟总表'!E7="","",'迁盟总表'!E7)</x:f>
        <x:v>留盟</x:v>
      </x:c>
      <x:c r="E7" s="40" t="n">
        <x:f>IF('迁盟总表'!Q7="","",'迁盟总表'!Q7)</x:f>
        <x:v>9788990640</x:v>
      </x:c>
      <x:c r="F7" s="40" t="n">
        <x:f>IF('迁盟总表'!R7="","",'迁盟总表'!R7)</x:f>
        <x:v>130692590</x:v>
      </x:c>
      <x:c r="G7" s="40" t="n">
        <x:f>IF('迁盟总表'!S7="","",'迁盟总表'!S7)</x:f>
        <x:v>372429885</x:v>
      </x:c>
      <x:c r="H7" s="37" t="str">
        <x:f>IF('迁盟总表'!H7="","",'迁盟总表'!H7)</x:f>
      </x:c>
      <x:c r="I7" s="37" t="str">
        <x:f>IF('迁盟总表'!I7="","",'迁盟总表'!I7)</x:f>
      </x:c>
      <x:c r="J7" s="40" t="str">
        <x:f>IF('迁盟总表'!J7="","",'迁盟总表'!J7)</x:f>
      </x:c>
      <x:c r="K7" s="40" t="str">
        <x:f>IF('迁盟总表'!K7="","",'迁盟总表'!K7)</x:f>
      </x:c>
      <x:c r="L7" s="40" t="str">
        <x:f>IF('迁盟总表'!L7="","",'迁盟总表'!L7)</x:f>
      </x:c>
      <x:c r="M7" s="40" t="str">
        <x:f>IF('迁盟总表'!M7="","",'迁盟总表'!M7)</x:f>
      </x:c>
      <x:c r="N7" s="40" t="str">
        <x:f>IF('迁盟总表'!N7="","",'迁盟总表'!N7)</x:f>
      </x:c>
      <x:c r="O7" s="40" t="str">
        <x:f>IF('迁盟总表'!O7="","",'迁盟总表'!O7)</x:f>
      </x:c>
      <x:c r="P7" s="40" t="str">
        <x:f>IF('迁盟总表'!P7="","",'迁盟总表'!P7)</x:f>
      </x:c>
      <x:c r="Q7" s="43" t="n">
        <x:f>IF('迁盟总表'!X7="","",'迁盟总表'!X7)</x:f>
        <x:v>93.4</x:v>
      </x:c>
      <x:c r="R7" s="27" t="n">
        <x:f>IF('迁盟总表'!Y7="","",'迁盟总表'!Y7)</x:f>
        <x:v>3</x:v>
      </x:c>
      <x:c r="S7" s="55" t="str">
        <x:f>IF('迁盟总表'!Z7="","",'迁盟总表'!Z7)</x:f>
        <x:v>保留兰亭战斗骨干</x:v>
      </x:c>
    </x:row>
    <x:row r="8" ht="20" customHeight="1">
      <x:c r="A8" s="26" t="str">
        <x:f>IF('迁盟总表'!B8="","",'迁盟总表'!B8)</x:f>
        <x:v>谢烟客</x:v>
      </x:c>
      <x:c r="B8" s="27" t="str">
        <x:f>IF('迁盟总表'!C8="","",'迁盟总表'!C8)</x:f>
        <x:v>燕云</x:v>
      </x:c>
      <x:c r="C8" s="58" t="str">
        <x:f>IF('迁盟总表'!D8="","",'迁盟总表'!D8)</x:f>
        <x:v>兰亭</x:v>
      </x:c>
      <x:c r="D8" s="27" t="str">
        <x:f>IF('迁盟总表'!E8="","",'迁盟总表'!E8)</x:f>
        <x:v>燕云→兰亭</x:v>
      </x:c>
      <x:c r="E8" s="40" t="n">
        <x:f>IF('迁盟总表'!Q8="","",'迁盟总表'!Q8)</x:f>
        <x:v>4604815704</x:v>
      </x:c>
      <x:c r="F8" s="40" t="n">
        <x:f>IF('迁盟总表'!R8="","",'迁盟总表'!R8)</x:f>
        <x:v>127860824</x:v>
      </x:c>
      <x:c r="G8" s="40" t="n">
        <x:f>IF('迁盟总表'!S8="","",'迁盟总表'!S8)</x:f>
        <x:v>371144202</x:v>
      </x:c>
      <x:c r="H8" s="37" t="n">
        <x:f>IF('迁盟总表'!H8="","",'迁盟总表'!H8)</x:f>
        <x:v>31.8</x:v>
      </x:c>
      <x:c r="I8" s="37" t="n">
        <x:f>IF('迁盟总表'!I8="","",'迁盟总表'!I8)</x:f>
        <x:v>31.8</x:v>
      </x:c>
      <x:c r="J8" s="40" t="n">
        <x:f>IF('迁盟总表'!J8="","",'迁盟总表'!J8)</x:f>
        <x:v>943</x:v>
      </x:c>
      <x:c r="K8" s="40" t="n">
        <x:f>IF('迁盟总表'!K8="","",'迁盟总表'!K8)</x:f>
        <x:v>1237</x:v>
      </x:c>
      <x:c r="L8" s="40" t="n">
        <x:f>IF('迁盟总表'!L8="","",'迁盟总表'!L8)</x:f>
        <x:v>748</x:v>
      </x:c>
      <x:c r="M8" s="40" t="n">
        <x:f>IF('迁盟总表'!M8="","",'迁盟总表'!M8)</x:f>
        <x:v>753</x:v>
      </x:c>
      <x:c r="N8" s="40" t="n">
        <x:f>IF('迁盟总表'!N8="","",'迁盟总表'!N8)</x:f>
        <x:v>771</x:v>
      </x:c>
      <x:c r="O8" s="40" t="n">
        <x:f>IF('迁盟总表'!O8="","",'迁盟总表'!O8)</x:f>
        <x:v>1132</x:v>
      </x:c>
      <x:c r="P8" s="40" t="n">
        <x:f>IF('迁盟总表'!P8="","",'迁盟总表'!P8)</x:f>
        <x:v>5584</x:v>
      </x:c>
      <x:c r="Q8" s="43" t="n">
        <x:f>IF('迁盟总表'!X8="","",'迁盟总表'!X8)</x:f>
        <x:v>90.7</x:v>
      </x:c>
      <x:c r="R8" s="27" t="n">
        <x:f>IF('迁盟总表'!Y8="","",'迁盟总表'!Y8)</x:f>
        <x:v>4</x:v>
      </x:c>
      <x:c r="S8" s="55" t="str">
        <x:f>IF('迁盟总表'!Z8="","",'迁盟总表'!Z8)</x:f>
        <x:v>补强一盟：总功勋、实力、战力及六维综合靠前</x:v>
      </x:c>
    </x:row>
    <x:row r="9" ht="20" customHeight="1">
      <x:c r="A9" s="26" t="str">
        <x:f>IF('迁盟总表'!B9="","",'迁盟总表'!B9)</x:f>
        <x:v>政乔乔</x:v>
      </x:c>
      <x:c r="B9" s="27" t="str">
        <x:f>IF('迁盟总表'!C9="","",'迁盟总表'!C9)</x:f>
        <x:v>兰亭</x:v>
      </x:c>
      <x:c r="C9" s="58" t="str">
        <x:f>IF('迁盟总表'!D9="","",'迁盟总表'!D9)</x:f>
        <x:v>兰亭</x:v>
      </x:c>
      <x:c r="D9" s="27" t="str">
        <x:f>IF('迁盟总表'!E9="","",'迁盟总表'!E9)</x:f>
        <x:v>留盟</x:v>
      </x:c>
      <x:c r="E9" s="40" t="n">
        <x:f>IF('迁盟总表'!Q9="","",'迁盟总表'!Q9)</x:f>
        <x:v>4834040564</x:v>
      </x:c>
      <x:c r="F9" s="40" t="n">
        <x:f>IF('迁盟总表'!R9="","",'迁盟总表'!R9)</x:f>
        <x:v>114322936</x:v>
      </x:c>
      <x:c r="G9" s="40" t="n">
        <x:f>IF('迁盟总表'!S9="","",'迁盟总表'!S9)</x:f>
        <x:v>445437687</x:v>
      </x:c>
      <x:c r="H9" s="37" t="n">
        <x:f>IF('迁盟总表'!H9="","",'迁盟总表'!H9)</x:f>
        <x:v>28.8</x:v>
      </x:c>
      <x:c r="I9" s="37" t="n">
        <x:f>IF('迁盟总表'!I9="","",'迁盟总表'!I9)</x:f>
        <x:v>28.8</x:v>
      </x:c>
      <x:c r="J9" s="40" t="n">
        <x:f>IF('迁盟总表'!J9="","",'迁盟总表'!J9)</x:f>
        <x:v>1000</x:v>
      </x:c>
      <x:c r="K9" s="40" t="n">
        <x:f>IF('迁盟总表'!K9="","",'迁盟总表'!K9)</x:f>
        <x:v>1247</x:v>
      </x:c>
      <x:c r="L9" s="40" t="n">
        <x:f>IF('迁盟总表'!L9="","",'迁盟总表'!L9)</x:f>
        <x:v>788</x:v>
      </x:c>
      <x:c r="M9" s="40" t="n">
        <x:f>IF('迁盟总表'!M9="","",'迁盟总表'!M9)</x:f>
        <x:v>846</x:v>
      </x:c>
      <x:c r="N9" s="40" t="n">
        <x:f>IF('迁盟总表'!N9="","",'迁盟总表'!N9)</x:f>
        <x:v>858</x:v>
      </x:c>
      <x:c r="O9" s="40" t="n">
        <x:f>IF('迁盟总表'!O9="","",'迁盟总表'!O9)</x:f>
        <x:v>1129</x:v>
      </x:c>
      <x:c r="P9" s="40" t="n">
        <x:f>IF('迁盟总表'!P9="","",'迁盟总表'!P9)</x:f>
        <x:v>5868</x:v>
      </x:c>
      <x:c r="Q9" s="43" t="n">
        <x:f>IF('迁盟总表'!X9="","",'迁盟总表'!X9)</x:f>
        <x:v>89.9</x:v>
      </x:c>
      <x:c r="R9" s="27" t="n">
        <x:f>IF('迁盟总表'!Y9="","",'迁盟总表'!Y9)</x:f>
        <x:v>5</x:v>
      </x:c>
      <x:c r="S9" s="55" t="str">
        <x:f>IF('迁盟总表'!Z9="","",'迁盟总表'!Z9)</x:f>
        <x:v>保留兰亭战斗骨干</x:v>
      </x:c>
    </x:row>
    <x:row r="10" ht="20" customHeight="1">
      <x:c r="A10" s="26" t="str">
        <x:f>IF('迁盟总表'!B10="","",'迁盟总表'!B10)</x:f>
        <x:v>小太子奶</x:v>
      </x:c>
      <x:c r="B10" s="27" t="str">
        <x:f>IF('迁盟总表'!C10="","",'迁盟总表'!C10)</x:f>
        <x:v>玲珑</x:v>
      </x:c>
      <x:c r="C10" s="58" t="str">
        <x:f>IF('迁盟总表'!D10="","",'迁盟总表'!D10)</x:f>
        <x:v>兰亭</x:v>
      </x:c>
      <x:c r="D10" s="27" t="str">
        <x:f>IF('迁盟总表'!E10="","",'迁盟总表'!E10)</x:f>
        <x:v>玲珑→兰亭</x:v>
      </x:c>
      <x:c r="E10" s="40" t="n">
        <x:f>IF('迁盟总表'!Q10="","",'迁盟总表'!Q10)</x:f>
        <x:v>7138481012</x:v>
      </x:c>
      <x:c r="F10" s="40" t="n">
        <x:f>IF('迁盟总表'!R10="","",'迁盟总表'!R10)</x:f>
        <x:v>119041565</x:v>
      </x:c>
      <x:c r="G10" s="40" t="n">
        <x:f>IF('迁盟总表'!S10="","",'迁盟总表'!S10)</x:f>
        <x:v>321421839</x:v>
      </x:c>
      <x:c r="H10" s="37" t="n">
        <x:f>IF('迁盟总表'!H10="","",'迁盟总表'!H10)</x:f>
        <x:v>31.8</x:v>
      </x:c>
      <x:c r="I10" s="37" t="n">
        <x:f>IF('迁盟总表'!I10="","",'迁盟总表'!I10)</x:f>
        <x:v>31.8</x:v>
      </x:c>
      <x:c r="J10" s="40" t="n">
        <x:f>IF('迁盟总表'!J10="","",'迁盟总表'!J10)</x:f>
        <x:v>988</x:v>
      </x:c>
      <x:c r="K10" s="40" t="n">
        <x:f>IF('迁盟总表'!K10="","",'迁盟总表'!K10)</x:f>
        <x:v>1318</x:v>
      </x:c>
      <x:c r="L10" s="40" t="n">
        <x:f>IF('迁盟总表'!L10="","",'迁盟总表'!L10)</x:f>
        <x:v>788</x:v>
      </x:c>
      <x:c r="M10" s="40" t="n">
        <x:f>IF('迁盟总表'!M10="","",'迁盟总表'!M10)</x:f>
        <x:v>988</x:v>
      </x:c>
      <x:c r="N10" s="40" t="n">
        <x:f>IF('迁盟总表'!N10="","",'迁盟总表'!N10)</x:f>
        <x:v>858</x:v>
      </x:c>
      <x:c r="O10" s="40" t="n">
        <x:f>IF('迁盟总表'!O10="","",'迁盟总表'!O10)</x:f>
        <x:v>1136</x:v>
      </x:c>
      <x:c r="P10" s="40" t="n">
        <x:f>IF('迁盟总表'!P10="","",'迁盟总表'!P10)</x:f>
        <x:v>6076</x:v>
      </x:c>
      <x:c r="Q10" s="43" t="n">
        <x:f>IF('迁盟总表'!X10="","",'迁盟总表'!X10)</x:f>
        <x:v>88.5</x:v>
      </x:c>
      <x:c r="R10" s="27" t="n">
        <x:f>IF('迁盟总表'!Y10="","",'迁盟总表'!Y10)</x:f>
        <x:v>6</x:v>
      </x:c>
      <x:c r="S10" s="55" t="str">
        <x:f>IF('迁盟总表'!Z10="","",'迁盟总表'!Z10)</x:f>
        <x:v>补强一盟：总功勋、实力、战力及六维综合靠前</x:v>
      </x:c>
    </x:row>
    <x:row r="11" ht="20" customHeight="1">
      <x:c r="A11" s="26" t="str">
        <x:f>IF('迁盟总表'!B11="","",'迁盟总表'!B11)</x:f>
        <x:v>卡丨卡</x:v>
      </x:c>
      <x:c r="B11" s="27" t="str">
        <x:f>IF('迁盟总表'!C11="","",'迁盟总表'!C11)</x:f>
        <x:v>兰亭</x:v>
      </x:c>
      <x:c r="C11" s="58" t="str">
        <x:f>IF('迁盟总表'!D11="","",'迁盟总表'!D11)</x:f>
        <x:v>兰亭</x:v>
      </x:c>
      <x:c r="D11" s="27" t="str">
        <x:f>IF('迁盟总表'!E11="","",'迁盟总表'!E11)</x:f>
        <x:v>留盟</x:v>
      </x:c>
      <x:c r="E11" s="40" t="n">
        <x:f>IF('迁盟总表'!Q11="","",'迁盟总表'!Q11)</x:f>
        <x:v>5954717942</x:v>
      </x:c>
      <x:c r="F11" s="40" t="n">
        <x:f>IF('迁盟总表'!R11="","",'迁盟总表'!R11)</x:f>
        <x:v>110269843</x:v>
      </x:c>
      <x:c r="G11" s="40" t="n">
        <x:f>IF('迁盟总表'!S11="","",'迁盟总表'!S11)</x:f>
        <x:v>416553480</x:v>
      </x:c>
      <x:c r="H11" s="37" t="str">
        <x:f>IF('迁盟总表'!H11="","",'迁盟总表'!H11)</x:f>
      </x:c>
      <x:c r="I11" s="37" t="str">
        <x:f>IF('迁盟总表'!I11="","",'迁盟总表'!I11)</x:f>
      </x:c>
      <x:c r="J11" s="40" t="str">
        <x:f>IF('迁盟总表'!J11="","",'迁盟总表'!J11)</x:f>
      </x:c>
      <x:c r="K11" s="40" t="str">
        <x:f>IF('迁盟总表'!K11="","",'迁盟总表'!K11)</x:f>
      </x:c>
      <x:c r="L11" s="40" t="str">
        <x:f>IF('迁盟总表'!L11="","",'迁盟总表'!L11)</x:f>
      </x:c>
      <x:c r="M11" s="40" t="str">
        <x:f>IF('迁盟总表'!M11="","",'迁盟总表'!M11)</x:f>
      </x:c>
      <x:c r="N11" s="40" t="str">
        <x:f>IF('迁盟总表'!N11="","",'迁盟总表'!N11)</x:f>
      </x:c>
      <x:c r="O11" s="40" t="str">
        <x:f>IF('迁盟总表'!O11="","",'迁盟总表'!O11)</x:f>
      </x:c>
      <x:c r="P11" s="40" t="str">
        <x:f>IF('迁盟总表'!P11="","",'迁盟总表'!P11)</x:f>
      </x:c>
      <x:c r="Q11" s="43" t="n">
        <x:f>IF('迁盟总表'!X11="","",'迁盟总表'!X11)</x:f>
        <x:v>88</x:v>
      </x:c>
      <x:c r="R11" s="27" t="n">
        <x:f>IF('迁盟总表'!Y11="","",'迁盟总表'!Y11)</x:f>
        <x:v>7</x:v>
      </x:c>
      <x:c r="S11" s="55" t="str">
        <x:f>IF('迁盟总表'!Z11="","",'迁盟总表'!Z11)</x:f>
        <x:v>保留兰亭战斗骨干</x:v>
      </x:c>
    </x:row>
    <x:row r="12" ht="20" customHeight="1">
      <x:c r="A12" s="26" t="str">
        <x:f>IF('迁盟总表'!B12="","",'迁盟总表'!B12)</x:f>
        <x:v>大寒空空</x:v>
      </x:c>
      <x:c r="B12" s="27" t="str">
        <x:f>IF('迁盟总表'!C12="","",'迁盟总表'!C12)</x:f>
        <x:v>燕云</x:v>
      </x:c>
      <x:c r="C12" s="58" t="str">
        <x:f>IF('迁盟总表'!D12="","",'迁盟总表'!D12)</x:f>
        <x:v>兰亭</x:v>
      </x:c>
      <x:c r="D12" s="27" t="str">
        <x:f>IF('迁盟总表'!E12="","",'迁盟总表'!E12)</x:f>
        <x:v>燕云→兰亭</x:v>
      </x:c>
      <x:c r="E12" s="40" t="n">
        <x:f>IF('迁盟总表'!Q12="","",'迁盟总表'!Q12)</x:f>
        <x:v>12229399950</x:v>
      </x:c>
      <x:c r="F12" s="40" t="n">
        <x:f>IF('迁盟总表'!R12="","",'迁盟总表'!R12)</x:f>
        <x:v>119496319</x:v>
      </x:c>
      <x:c r="G12" s="40" t="n">
        <x:f>IF('迁盟总表'!S12="","",'迁盟总表'!S12)</x:f>
        <x:v>280019475</x:v>
      </x:c>
      <x:c r="H12" s="37" t="n">
        <x:f>IF('迁盟总表'!H12="","",'迁盟总表'!H12)</x:f>
        <x:v>31.8</x:v>
      </x:c>
      <x:c r="I12" s="37" t="n">
        <x:f>IF('迁盟总表'!I12="","",'迁盟总表'!I12)</x:f>
        <x:v>28.8</x:v>
      </x:c>
      <x:c r="J12" s="40" t="n">
        <x:f>IF('迁盟总表'!J12="","",'迁盟总表'!J12)</x:f>
        <x:v>970</x:v>
      </x:c>
      <x:c r="K12" s="40" t="n">
        <x:f>IF('迁盟总表'!K12="","",'迁盟总表'!K12)</x:f>
        <x:v>1295</x:v>
      </x:c>
      <x:c r="L12" s="40" t="n">
        <x:f>IF('迁盟总表'!L12="","",'迁盟总表'!L12)</x:f>
        <x:v>705</x:v>
      </x:c>
      <x:c r="M12" s="40" t="n">
        <x:f>IF('迁盟总表'!M12="","",'迁盟总表'!M12)</x:f>
        <x:v>872</x:v>
      </x:c>
      <x:c r="N12" s="40" t="n">
        <x:f>IF('迁盟总表'!N12="","",'迁盟总表'!N12)</x:f>
        <x:v>772</x:v>
      </x:c>
      <x:c r="O12" s="40" t="n">
        <x:f>IF('迁盟总表'!O12="","",'迁盟总表'!O12)</x:f>
        <x:v>1043</x:v>
      </x:c>
      <x:c r="P12" s="40" t="n">
        <x:f>IF('迁盟总表'!P12="","",'迁盟总表'!P12)</x:f>
        <x:v>5657</x:v>
      </x:c>
      <x:c r="Q12" s="43" t="n">
        <x:f>IF('迁盟总表'!X12="","",'迁盟总表'!X12)</x:f>
        <x:v>87.7</x:v>
      </x:c>
      <x:c r="R12" s="27" t="n">
        <x:f>IF('迁盟总表'!Y12="","",'迁盟总表'!Y12)</x:f>
        <x:v>8</x:v>
      </x:c>
      <x:c r="S12" s="55" t="str">
        <x:f>IF('迁盟总表'!Z12="","",'迁盟总表'!Z12)</x:f>
        <x:v>补强一盟：总功勋、实力、战力及六维综合靠前</x:v>
      </x:c>
    </x:row>
    <x:row r="13" ht="20" customHeight="1">
      <x:c r="A13" s="26" t="str">
        <x:f>IF('迁盟总表'!B13="","",'迁盟总表'!B13)</x:f>
        <x:v>月溅星河</x:v>
      </x:c>
      <x:c r="B13" s="27" t="str">
        <x:f>IF('迁盟总表'!C13="","",'迁盟总表'!C13)</x:f>
        <x:v>玲珑</x:v>
      </x:c>
      <x:c r="C13" s="58" t="str">
        <x:f>IF('迁盟总表'!D13="","",'迁盟总表'!D13)</x:f>
        <x:v>兰亭</x:v>
      </x:c>
      <x:c r="D13" s="27" t="str">
        <x:f>IF('迁盟总表'!E13="","",'迁盟总表'!E13)</x:f>
        <x:v>玲珑→兰亭</x:v>
      </x:c>
      <x:c r="E13" s="40" t="n">
        <x:f>IF('迁盟总表'!Q13="","",'迁盟总表'!Q13)</x:f>
        <x:v>2129796306</x:v>
      </x:c>
      <x:c r="F13" s="40" t="n">
        <x:f>IF('迁盟总表'!R13="","",'迁盟总表'!R13)</x:f>
        <x:v>121310088</x:v>
      </x:c>
      <x:c r="G13" s="40" t="n">
        <x:f>IF('迁盟总表'!S13="","",'迁盟总表'!S13)</x:f>
        <x:v>342534463</x:v>
      </x:c>
      <x:c r="H13" s="37" t="n">
        <x:f>IF('迁盟总表'!H13="","",'迁盟总表'!H13)</x:f>
        <x:v>30.8</x:v>
      </x:c>
      <x:c r="I13" s="37" t="n">
        <x:f>IF('迁盟总表'!I13="","",'迁盟总表'!I13)</x:f>
        <x:v>30.8</x:v>
      </x:c>
      <x:c r="J13" s="40" t="n">
        <x:f>IF('迁盟总表'!J13="","",'迁盟总表'!J13)</x:f>
        <x:v>980</x:v>
      </x:c>
      <x:c r="K13" s="40" t="n">
        <x:f>IF('迁盟总表'!K13="","",'迁盟总表'!K13)</x:f>
        <x:v>1215</x:v>
      </x:c>
      <x:c r="L13" s="40" t="n">
        <x:f>IF('迁盟总表'!L13="","",'迁盟总表'!L13)</x:f>
        <x:v>816</x:v>
      </x:c>
      <x:c r="M13" s="40" t="n">
        <x:f>IF('迁盟总表'!M13="","",'迁盟总表'!M13)</x:f>
        <x:v>1011</x:v>
      </x:c>
      <x:c r="N13" s="40" t="n">
        <x:f>IF('迁盟总表'!N13="","",'迁盟总表'!N13)</x:f>
        <x:v>893</x:v>
      </x:c>
      <x:c r="O13" s="40" t="n">
        <x:f>IF('迁盟总表'!O13="","",'迁盟总表'!O13)</x:f>
        <x:v>1109</x:v>
      </x:c>
      <x:c r="P13" s="40" t="n">
        <x:f>IF('迁盟总表'!P13="","",'迁盟总表'!P13)</x:f>
        <x:v>6024</x:v>
      </x:c>
      <x:c r="Q13" s="43" t="n">
        <x:f>IF('迁盟总表'!X13="","",'迁盟总表'!X13)</x:f>
        <x:v>87.5</x:v>
      </x:c>
      <x:c r="R13" s="27" t="n">
        <x:f>IF('迁盟总表'!Y13="","",'迁盟总表'!Y13)</x:f>
        <x:v>9</x:v>
      </x:c>
      <x:c r="S13" s="55" t="str">
        <x:f>IF('迁盟总表'!Z13="","",'迁盟总表'!Z13)</x:f>
        <x:v>补强一盟：总功勋、实力、战力及六维综合靠前</x:v>
      </x:c>
    </x:row>
    <x:row r="14" ht="20" customHeight="1">
      <x:c r="A14" s="26" t="str">
        <x:f>IF('迁盟总表'!B14="","",'迁盟总表'!B14)</x:f>
        <x:v>我佛慈悲</x:v>
      </x:c>
      <x:c r="B14" s="27" t="str">
        <x:f>IF('迁盟总表'!C14="","",'迁盟总表'!C14)</x:f>
        <x:v>燕云</x:v>
      </x:c>
      <x:c r="C14" s="58" t="str">
        <x:f>IF('迁盟总表'!D14="","",'迁盟总表'!D14)</x:f>
        <x:v>兰亭</x:v>
      </x:c>
      <x:c r="D14" s="27" t="str">
        <x:f>IF('迁盟总表'!E14="","",'迁盟总表'!E14)</x:f>
        <x:v>燕云→兰亭</x:v>
      </x:c>
      <x:c r="E14" s="40" t="n">
        <x:f>IF('迁盟总表'!Q14="","",'迁盟总表'!Q14)</x:f>
        <x:v>3714862802</x:v>
      </x:c>
      <x:c r="F14" s="40" t="n">
        <x:f>IF('迁盟总表'!R14="","",'迁盟总表'!R14)</x:f>
        <x:v>126851230</x:v>
      </x:c>
      <x:c r="G14" s="40" t="n">
        <x:f>IF('迁盟总表'!S14="","",'迁盟总表'!S14)</x:f>
        <x:v>273430708</x:v>
      </x:c>
      <x:c r="H14" s="37" t="str">
        <x:f>IF('迁盟总表'!H14="","",'迁盟总表'!H14)</x:f>
      </x:c>
      <x:c r="I14" s="37" t="str">
        <x:f>IF('迁盟总表'!I14="","",'迁盟总表'!I14)</x:f>
      </x:c>
      <x:c r="J14" s="40" t="str">
        <x:f>IF('迁盟总表'!J14="","",'迁盟总表'!J14)</x:f>
      </x:c>
      <x:c r="K14" s="40" t="str">
        <x:f>IF('迁盟总表'!K14="","",'迁盟总表'!K14)</x:f>
      </x:c>
      <x:c r="L14" s="40" t="str">
        <x:f>IF('迁盟总表'!L14="","",'迁盟总表'!L14)</x:f>
      </x:c>
      <x:c r="M14" s="40" t="str">
        <x:f>IF('迁盟总表'!M14="","",'迁盟总表'!M14)</x:f>
      </x:c>
      <x:c r="N14" s="40" t="str">
        <x:f>IF('迁盟总表'!N14="","",'迁盟总表'!N14)</x:f>
      </x:c>
      <x:c r="O14" s="40" t="str">
        <x:f>IF('迁盟总表'!O14="","",'迁盟总表'!O14)</x:f>
      </x:c>
      <x:c r="P14" s="40" t="str">
        <x:f>IF('迁盟总表'!P14="","",'迁盟总表'!P14)</x:f>
      </x:c>
      <x:c r="Q14" s="43" t="n">
        <x:f>IF('迁盟总表'!X14="","",'迁盟总表'!X14)</x:f>
        <x:v>87.2</x:v>
      </x:c>
      <x:c r="R14" s="27" t="n">
        <x:f>IF('迁盟总表'!Y14="","",'迁盟总表'!Y14)</x:f>
        <x:v>10</x:v>
      </x:c>
      <x:c r="S14" s="55" t="str">
        <x:f>IF('迁盟总表'!Z14="","",'迁盟总表'!Z14)</x:f>
        <x:v>补强一盟：总功勋、实力、战力及六维综合靠前</x:v>
      </x:c>
    </x:row>
    <x:row r="15" ht="20" customHeight="1">
      <x:c r="A15" s="26" t="str">
        <x:f>IF('迁盟总表'!B15="","",'迁盟总表'!B15)</x:f>
        <x:v>蓝天予你</x:v>
      </x:c>
      <x:c r="B15" s="27" t="str">
        <x:f>IF('迁盟总表'!C15="","",'迁盟总表'!C15)</x:f>
        <x:v>玲珑</x:v>
      </x:c>
      <x:c r="C15" s="58" t="str">
        <x:f>IF('迁盟总表'!D15="","",'迁盟总表'!D15)</x:f>
        <x:v>兰亭</x:v>
      </x:c>
      <x:c r="D15" s="27" t="str">
        <x:f>IF('迁盟总表'!E15="","",'迁盟总表'!E15)</x:f>
        <x:v>玲珑→兰亭</x:v>
      </x:c>
      <x:c r="E15" s="40" t="n">
        <x:f>IF('迁盟总表'!Q15="","",'迁盟总表'!Q15)</x:f>
        <x:v>4418436658</x:v>
      </x:c>
      <x:c r="F15" s="40" t="n">
        <x:f>IF('迁盟总表'!R15="","",'迁盟总表'!R15)</x:f>
        <x:v>118628524</x:v>
      </x:c>
      <x:c r="G15" s="40" t="n">
        <x:f>IF('迁盟总表'!S15="","",'迁盟总表'!S15)</x:f>
        <x:v>320613957</x:v>
      </x:c>
      <x:c r="H15" s="37" t="str">
        <x:f>IF('迁盟总表'!H15="","",'迁盟总表'!H15)</x:f>
      </x:c>
      <x:c r="I15" s="37" t="str">
        <x:f>IF('迁盟总表'!I15="","",'迁盟总表'!I15)</x:f>
      </x:c>
      <x:c r="J15" s="40" t="str">
        <x:f>IF('迁盟总表'!J15="","",'迁盟总表'!J15)</x:f>
      </x:c>
      <x:c r="K15" s="40" t="str">
        <x:f>IF('迁盟总表'!K15="","",'迁盟总表'!K15)</x:f>
      </x:c>
      <x:c r="L15" s="40" t="str">
        <x:f>IF('迁盟总表'!L15="","",'迁盟总表'!L15)</x:f>
      </x:c>
      <x:c r="M15" s="40" t="str">
        <x:f>IF('迁盟总表'!M15="","",'迁盟总表'!M15)</x:f>
      </x:c>
      <x:c r="N15" s="40" t="str">
        <x:f>IF('迁盟总表'!N15="","",'迁盟总表'!N15)</x:f>
      </x:c>
      <x:c r="O15" s="40" t="str">
        <x:f>IF('迁盟总表'!O15="","",'迁盟总表'!O15)</x:f>
      </x:c>
      <x:c r="P15" s="40" t="str">
        <x:f>IF('迁盟总表'!P15="","",'迁盟总表'!P15)</x:f>
      </x:c>
      <x:c r="Q15" s="43" t="n">
        <x:f>IF('迁盟总表'!X15="","",'迁盟总表'!X15)</x:f>
        <x:v>86.7</x:v>
      </x:c>
      <x:c r="R15" s="27" t="n">
        <x:f>IF('迁盟总表'!Y15="","",'迁盟总表'!Y15)</x:f>
        <x:v>11</x:v>
      </x:c>
      <x:c r="S15" s="55" t="str">
        <x:f>IF('迁盟总表'!Z15="","",'迁盟总表'!Z15)</x:f>
        <x:v>补强一盟：总功勋、实力、战力及六维综合靠前</x:v>
      </x:c>
    </x:row>
    <x:row r="16" ht="20" customHeight="1">
      <x:c r="A16" s="26" t="str">
        <x:f>IF('迁盟总表'!B16="","",'迁盟总表'!B16)</x:f>
        <x:v>浪子丨你瞅啥</x:v>
      </x:c>
      <x:c r="B16" s="27" t="str">
        <x:f>IF('迁盟总表'!C16="","",'迁盟总表'!C16)</x:f>
        <x:v>兰亭</x:v>
      </x:c>
      <x:c r="C16" s="58" t="str">
        <x:f>IF('迁盟总表'!D16="","",'迁盟总表'!D16)</x:f>
        <x:v>兰亭</x:v>
      </x:c>
      <x:c r="D16" s="27" t="str">
        <x:f>IF('迁盟总表'!E16="","",'迁盟总表'!E16)</x:f>
        <x:v>留盟</x:v>
      </x:c>
      <x:c r="E16" s="40" t="n">
        <x:f>IF('迁盟总表'!Q16="","",'迁盟总表'!Q16)</x:f>
        <x:v>5285041094</x:v>
      </x:c>
      <x:c r="F16" s="40" t="n">
        <x:f>IF('迁盟总表'!R16="","",'迁盟总表'!R16)</x:f>
        <x:v>109059421</x:v>
      </x:c>
      <x:c r="G16" s="40" t="n">
        <x:f>IF('迁盟总表'!S16="","",'迁盟总表'!S16)</x:f>
        <x:v>421890119</x:v>
      </x:c>
      <x:c r="H16" s="37" t="n">
        <x:f>IF('迁盟总表'!H16="","",'迁盟总表'!H16)</x:f>
        <x:v>28.72</x:v>
      </x:c>
      <x:c r="I16" s="37" t="n">
        <x:f>IF('迁盟总表'!I16="","",'迁盟总表'!I16)</x:f>
        <x:v>28.72</x:v>
      </x:c>
      <x:c r="J16" s="40" t="n">
        <x:f>IF('迁盟总表'!J16="","",'迁盟总表'!J16)</x:f>
        <x:v>826</x:v>
      </x:c>
      <x:c r="K16" s="40" t="n">
        <x:f>IF('迁盟总表'!K16="","",'迁盟总表'!K16)</x:f>
        <x:v>1077</x:v>
      </x:c>
      <x:c r="L16" s="40" t="n">
        <x:f>IF('迁盟总表'!L16="","",'迁盟总表'!L16)</x:f>
        <x:v>669</x:v>
      </x:c>
      <x:c r="M16" s="40" t="n">
        <x:f>IF('迁盟总表'!M16="","",'迁盟总表'!M16)</x:f>
        <x:v>683</x:v>
      </x:c>
      <x:c r="N16" s="40" t="n">
        <x:f>IF('迁盟总表'!N16="","",'迁盟总表'!N16)</x:f>
        <x:v>775</x:v>
      </x:c>
      <x:c r="O16" s="40" t="n">
        <x:f>IF('迁盟总表'!O16="","",'迁盟总表'!O16)</x:f>
        <x:v>906</x:v>
      </x:c>
      <x:c r="P16" s="40" t="n">
        <x:f>IF('迁盟总表'!P16="","",'迁盟总表'!P16)</x:f>
        <x:v>4936</x:v>
      </x:c>
      <x:c r="Q16" s="43" t="n">
        <x:f>IF('迁盟总表'!X16="","",'迁盟总表'!X16)</x:f>
        <x:v>86.5</x:v>
      </x:c>
      <x:c r="R16" s="27" t="n">
        <x:f>IF('迁盟总表'!Y16="","",'迁盟总表'!Y16)</x:f>
        <x:v>12</x:v>
      </x:c>
      <x:c r="S16" s="55" t="str">
        <x:f>IF('迁盟总表'!Z16="","",'迁盟总表'!Z16)</x:f>
        <x:v>保留兰亭战斗骨干</x:v>
      </x:c>
    </x:row>
    <x:row r="17" ht="20" customHeight="1">
      <x:c r="A17" s="26" t="str">
        <x:f>IF('迁盟总表'!B17="","",'迁盟总表'!B17)</x:f>
        <x:v>策划他二大爷</x:v>
      </x:c>
      <x:c r="B17" s="27" t="str">
        <x:f>IF('迁盟总表'!C17="","",'迁盟总表'!C17)</x:f>
        <x:v>兰亭</x:v>
      </x:c>
      <x:c r="C17" s="58" t="str">
        <x:f>IF('迁盟总表'!D17="","",'迁盟总表'!D17)</x:f>
        <x:v>兰亭</x:v>
      </x:c>
      <x:c r="D17" s="27" t="str">
        <x:f>IF('迁盟总表'!E17="","",'迁盟总表'!E17)</x:f>
        <x:v>留盟</x:v>
      </x:c>
      <x:c r="E17" s="40" t="n">
        <x:f>IF('迁盟总表'!Q17="","",'迁盟总表'!Q17)</x:f>
        <x:v>10541967282</x:v>
      </x:c>
      <x:c r="F17" s="40" t="n">
        <x:f>IF('迁盟总表'!R17="","",'迁盟总表'!R17)</x:f>
        <x:v>115603864</x:v>
      </x:c>
      <x:c r="G17" s="40" t="n">
        <x:f>IF('迁盟总表'!S17="","",'迁盟总表'!S17)</x:f>
        <x:v>287931925</x:v>
      </x:c>
      <x:c r="H17" s="37" t="n">
        <x:f>IF('迁盟总表'!H17="","",'迁盟总表'!H17)</x:f>
        <x:v>30</x:v>
      </x:c>
      <x:c r="I17" s="37" t="n">
        <x:f>IF('迁盟总表'!I17="","",'迁盟总表'!I17)</x:f>
        <x:v>22.8</x:v>
      </x:c>
      <x:c r="J17" s="40" t="n">
        <x:f>IF('迁盟总表'!J17="","",'迁盟总表'!J17)</x:f>
        <x:v>893</x:v>
      </x:c>
      <x:c r="K17" s="40" t="n">
        <x:f>IF('迁盟总表'!K17="","",'迁盟总表'!K17)</x:f>
        <x:v>1084</x:v>
      </x:c>
      <x:c r="L17" s="40" t="n">
        <x:f>IF('迁盟总表'!L17="","",'迁盟总表'!L17)</x:f>
        <x:v>748</x:v>
      </x:c>
      <x:c r="M17" s="40" t="n">
        <x:f>IF('迁盟总表'!M17="","",'迁盟总表'!M17)</x:f>
        <x:v>791</x:v>
      </x:c>
      <x:c r="N17" s="40" t="n">
        <x:f>IF('迁盟总表'!N17="","",'迁盟总表'!N17)</x:f>
        <x:v>815</x:v>
      </x:c>
      <x:c r="O17" s="40" t="n">
        <x:f>IF('迁盟总表'!O17="","",'迁盟总表'!O17)</x:f>
        <x:v>937</x:v>
      </x:c>
      <x:c r="P17" s="40" t="n">
        <x:f>IF('迁盟总表'!P17="","",'迁盟总表'!P17)</x:f>
        <x:v>5268</x:v>
      </x:c>
      <x:c r="Q17" s="43" t="n">
        <x:f>IF('迁盟总表'!X17="","",'迁盟总表'!X17)</x:f>
        <x:v>86</x:v>
      </x:c>
      <x:c r="R17" s="27" t="n">
        <x:f>IF('迁盟总表'!Y17="","",'迁盟总表'!Y17)</x:f>
        <x:v>13</x:v>
      </x:c>
      <x:c r="S17" s="55" t="str">
        <x:f>IF('迁盟总表'!Z17="","",'迁盟总表'!Z17)</x:f>
        <x:v>保留兰亭战斗骨干</x:v>
      </x:c>
    </x:row>
    <x:row r="18" ht="20" customHeight="1">
      <x:c r="A18" s="26" t="str">
        <x:f>IF('迁盟总表'!B18="","",'迁盟总表'!B18)</x:f>
        <x:v>云阁问道</x:v>
      </x:c>
      <x:c r="B18" s="27" t="str">
        <x:f>IF('迁盟总表'!C18="","",'迁盟总表'!C18)</x:f>
        <x:v>兰亭</x:v>
      </x:c>
      <x:c r="C18" s="58" t="str">
        <x:f>IF('迁盟总表'!D18="","",'迁盟总表'!D18)</x:f>
        <x:v>兰亭</x:v>
      </x:c>
      <x:c r="D18" s="27" t="str">
        <x:f>IF('迁盟总表'!E18="","",'迁盟总表'!E18)</x:f>
        <x:v>留盟</x:v>
      </x:c>
      <x:c r="E18" s="40" t="n">
        <x:f>IF('迁盟总表'!Q18="","",'迁盟总表'!Q18)</x:f>
        <x:v>12718091329</x:v>
      </x:c>
      <x:c r="F18" s="40" t="n">
        <x:f>IF('迁盟总表'!R18="","",'迁盟总表'!R18)</x:f>
        <x:v>105048206</x:v>
      </x:c>
      <x:c r="G18" s="40" t="n">
        <x:f>IF('迁盟总表'!S18="","",'迁盟总表'!S18)</x:f>
        <x:v>331966963</x:v>
      </x:c>
      <x:c r="H18" s="37" t="n">
        <x:f>IF('迁盟总表'!H18="","",'迁盟总表'!H18)</x:f>
        <x:v>28.8</x:v>
      </x:c>
      <x:c r="I18" s="37" t="n">
        <x:f>IF('迁盟总表'!I18="","",'迁盟总表'!I18)</x:f>
        <x:v>28.8</x:v>
      </x:c>
      <x:c r="J18" s="40" t="n">
        <x:f>IF('迁盟总表'!J18="","",'迁盟总表'!J18)</x:f>
        <x:v>949</x:v>
      </x:c>
      <x:c r="K18" s="40" t="n">
        <x:f>IF('迁盟总表'!K18="","",'迁盟总表'!K18)</x:f>
        <x:v>1066</x:v>
      </x:c>
      <x:c r="L18" s="40" t="n">
        <x:f>IF('迁盟总表'!L18="","",'迁盟总表'!L18)</x:f>
        <x:v>843</x:v>
      </x:c>
      <x:c r="M18" s="40" t="n">
        <x:f>IF('迁盟总表'!M18="","",'迁盟总表'!M18)</x:f>
        <x:v>884</x:v>
      </x:c>
      <x:c r="N18" s="40" t="n">
        <x:f>IF('迁盟总表'!N18="","",'迁盟总表'!N18)</x:f>
        <x:v>929</x:v>
      </x:c>
      <x:c r="O18" s="40" t="n">
        <x:f>IF('迁盟总表'!O18="","",'迁盟总表'!O18)</x:f>
        <x:v>1104</x:v>
      </x:c>
      <x:c r="P18" s="40" t="n">
        <x:f>IF('迁盟总表'!P18="","",'迁盟总表'!P18)</x:f>
        <x:v>5775</x:v>
      </x:c>
      <x:c r="Q18" s="43" t="n">
        <x:f>IF('迁盟总表'!X18="","",'迁盟总表'!X18)</x:f>
        <x:v>85.7</x:v>
      </x:c>
      <x:c r="R18" s="27" t="n">
        <x:f>IF('迁盟总表'!Y18="","",'迁盟总表'!Y18)</x:f>
        <x:v>14</x:v>
      </x:c>
      <x:c r="S18" s="55" t="str">
        <x:f>IF('迁盟总表'!Z18="","",'迁盟总表'!Z18)</x:f>
        <x:v>保留兰亭战斗骨干</x:v>
      </x:c>
    </x:row>
    <x:row r="19" ht="20" customHeight="1">
      <x:c r="A19" s="26" t="str">
        <x:f>IF('迁盟总表'!B19="","",'迁盟总表'!B19)</x:f>
        <x:v>霸道大叔孟鹤堂</x:v>
      </x:c>
      <x:c r="B19" s="27" t="str">
        <x:f>IF('迁盟总表'!C19="","",'迁盟总表'!C19)</x:f>
        <x:v>花晨</x:v>
      </x:c>
      <x:c r="C19" s="58" t="str">
        <x:f>IF('迁盟总表'!D19="","",'迁盟总表'!D19)</x:f>
        <x:v>兰亭</x:v>
      </x:c>
      <x:c r="D19" s="27" t="str">
        <x:f>IF('迁盟总表'!E19="","",'迁盟总表'!E19)</x:f>
        <x:v>花晨→兰亭</x:v>
      </x:c>
      <x:c r="E19" s="40" t="n">
        <x:f>IF('迁盟总表'!Q19="","",'迁盟总表'!Q19)</x:f>
        <x:v>7881358290</x:v>
      </x:c>
      <x:c r="F19" s="40" t="n">
        <x:f>IF('迁盟总表'!R19="","",'迁盟总表'!R19)</x:f>
        <x:v>108274437</x:v>
      </x:c>
      <x:c r="G19" s="40" t="n">
        <x:f>IF('迁盟总表'!S19="","",'迁盟总表'!S19)</x:f>
        <x:v>322083652</x:v>
      </x:c>
      <x:c r="H19" s="37" t="n">
        <x:f>IF('迁盟总表'!H19="","",'迁盟总表'!H19)</x:f>
        <x:v>28.88</x:v>
      </x:c>
      <x:c r="I19" s="37" t="n">
        <x:f>IF('迁盟总表'!I19="","",'迁盟总表'!I19)</x:f>
        <x:v>28.8</x:v>
      </x:c>
      <x:c r="J19" s="40" t="n">
        <x:f>IF('迁盟总表'!J19="","",'迁盟总表'!J19)</x:f>
        <x:v>900</x:v>
      </x:c>
      <x:c r="K19" s="40" t="n">
        <x:f>IF('迁盟总表'!K19="","",'迁盟总表'!K19)</x:f>
        <x:v>1200</x:v>
      </x:c>
      <x:c r="L19" s="40" t="n">
        <x:f>IF('迁盟总表'!L19="","",'迁盟总表'!L19)</x:f>
        <x:v>800</x:v>
      </x:c>
      <x:c r="M19" s="40" t="n">
        <x:f>IF('迁盟总表'!M19="","",'迁盟总表'!M19)</x:f>
        <x:v>850</x:v>
      </x:c>
      <x:c r="N19" s="40" t="n">
        <x:f>IF('迁盟总表'!N19="","",'迁盟总表'!N19)</x:f>
        <x:v>950</x:v>
      </x:c>
      <x:c r="O19" s="40" t="n">
        <x:f>IF('迁盟总表'!O19="","",'迁盟总表'!O19)</x:f>
        <x:v>1200</x:v>
      </x:c>
      <x:c r="P19" s="40" t="n">
        <x:f>IF('迁盟总表'!P19="","",'迁盟总表'!P19)</x:f>
        <x:v>5900</x:v>
      </x:c>
      <x:c r="Q19" s="43" t="n">
        <x:f>IF('迁盟总表'!X19="","",'迁盟总表'!X19)</x:f>
        <x:v>85.6</x:v>
      </x:c>
      <x:c r="R19" s="27" t="n">
        <x:f>IF('迁盟总表'!Y19="","",'迁盟总表'!Y19)</x:f>
        <x:v>15</x:v>
      </x:c>
      <x:c r="S19" s="55" t="str">
        <x:f>IF('迁盟总表'!Z19="","",'迁盟总表'!Z19)</x:f>
        <x:v>补强一盟：总功勋、实力、战力及六维综合靠前</x:v>
      </x:c>
    </x:row>
    <x:row r="20" ht="20" customHeight="1">
      <x:c r="A20" s="26" t="str">
        <x:f>IF('迁盟总表'!B20="","",'迁盟总表'!B20)</x:f>
        <x:v>九幽睡不醒</x:v>
      </x:c>
      <x:c r="B20" s="27" t="str">
        <x:f>IF('迁盟总表'!C20="","",'迁盟总表'!C20)</x:f>
        <x:v>花晨</x:v>
      </x:c>
      <x:c r="C20" s="58" t="str">
        <x:f>IF('迁盟总表'!D20="","",'迁盟总表'!D20)</x:f>
        <x:v>兰亭</x:v>
      </x:c>
      <x:c r="D20" s="27" t="str">
        <x:f>IF('迁盟总表'!E20="","",'迁盟总表'!E20)</x:f>
        <x:v>花晨→兰亭</x:v>
      </x:c>
      <x:c r="E20" s="40" t="n">
        <x:f>IF('迁盟总表'!Q20="","",'迁盟总表'!Q20)</x:f>
        <x:v>11237254930</x:v>
      </x:c>
      <x:c r="F20" s="40" t="n">
        <x:f>IF('迁盟总表'!R20="","",'迁盟总表'!R20)</x:f>
        <x:v>110432752</x:v>
      </x:c>
      <x:c r="G20" s="40" t="n">
        <x:f>IF('迁盟总表'!S20="","",'迁盟总表'!S20)</x:f>
        <x:v>287946821</x:v>
      </x:c>
      <x:c r="H20" s="37" t="n">
        <x:f>IF('迁盟总表'!H20="","",'迁盟总表'!H20)</x:f>
        <x:v>31.3</x:v>
      </x:c>
      <x:c r="I20" s="37" t="n">
        <x:f>IF('迁盟总表'!I20="","",'迁盟总表'!I20)</x:f>
        <x:v>28.8</x:v>
      </x:c>
      <x:c r="J20" s="40" t="n">
        <x:f>IF('迁盟总表'!J20="","",'迁盟总表'!J20)</x:f>
        <x:v>1004</x:v>
      </x:c>
      <x:c r="K20" s="40" t="n">
        <x:f>IF('迁盟总表'!K20="","",'迁盟总表'!K20)</x:f>
        <x:v>1166</x:v>
      </x:c>
      <x:c r="L20" s="40" t="n">
        <x:f>IF('迁盟总表'!L20="","",'迁盟总表'!L20)</x:f>
        <x:v>787</x:v>
      </x:c>
      <x:c r="M20" s="40" t="n">
        <x:f>IF('迁盟总表'!M20="","",'迁盟总表'!M20)</x:f>
        <x:v>847</x:v>
      </x:c>
      <x:c r="N20" s="40" t="n">
        <x:f>IF('迁盟总表'!N20="","",'迁盟总表'!N20)</x:f>
        <x:v>846</x:v>
      </x:c>
      <x:c r="O20" s="40" t="n">
        <x:f>IF('迁盟总表'!O20="","",'迁盟总表'!O20)</x:f>
        <x:v>1011</x:v>
      </x:c>
      <x:c r="P20" s="40" t="n">
        <x:f>IF('迁盟总表'!P20="","",'迁盟总表'!P20)</x:f>
        <x:v>5661</x:v>
      </x:c>
      <x:c r="Q20" s="43" t="n">
        <x:f>IF('迁盟总表'!X20="","",'迁盟总表'!X20)</x:f>
        <x:v>85.4</x:v>
      </x:c>
      <x:c r="R20" s="27" t="n">
        <x:f>IF('迁盟总表'!Y20="","",'迁盟总表'!Y20)</x:f>
        <x:v>16</x:v>
      </x:c>
      <x:c r="S20" s="55" t="str">
        <x:f>IF('迁盟总表'!Z20="","",'迁盟总表'!Z20)</x:f>
        <x:v>补强一盟：总功勋、实力、战力及六维综合靠前</x:v>
      </x:c>
    </x:row>
    <x:row r="21" ht="20" customHeight="1">
      <x:c r="A21" s="26" t="str">
        <x:f>IF('迁盟总表'!B21="","",'迁盟总表'!B21)</x:f>
        <x:v>充电宝</x:v>
      </x:c>
      <x:c r="B21" s="27" t="str">
        <x:f>IF('迁盟总表'!C21="","",'迁盟总表'!C21)</x:f>
        <x:v>玲珑</x:v>
      </x:c>
      <x:c r="C21" s="58" t="str">
        <x:f>IF('迁盟总表'!D21="","",'迁盟总表'!D21)</x:f>
        <x:v>兰亭</x:v>
      </x:c>
      <x:c r="D21" s="27" t="str">
        <x:f>IF('迁盟总表'!E21="","",'迁盟总表'!E21)</x:f>
        <x:v>玲珑→兰亭</x:v>
      </x:c>
      <x:c r="E21" s="40" t="n">
        <x:f>IF('迁盟总表'!Q21="","",'迁盟总表'!Q21)</x:f>
        <x:v>5669289950</x:v>
      </x:c>
      <x:c r="F21" s="40" t="n">
        <x:f>IF('迁盟总表'!R21="","",'迁盟总表'!R21)</x:f>
        <x:v>104895523</x:v>
      </x:c>
      <x:c r="G21" s="40" t="n">
        <x:f>IF('迁盟总表'!S21="","",'迁盟总表'!S21)</x:f>
        <x:v>392127036</x:v>
      </x:c>
      <x:c r="H21" s="37" t="n">
        <x:f>IF('迁盟总表'!H21="","",'迁盟总表'!H21)</x:f>
        <x:v>28.8</x:v>
      </x:c>
      <x:c r="I21" s="37" t="n">
        <x:f>IF('迁盟总表'!I21="","",'迁盟总表'!I21)</x:f>
        <x:v>22.5</x:v>
      </x:c>
      <x:c r="J21" s="40" t="n">
        <x:f>IF('迁盟总表'!J21="","",'迁盟总表'!J21)</x:f>
        <x:v>814</x:v>
      </x:c>
      <x:c r="K21" s="40" t="n">
        <x:f>IF('迁盟总表'!K21="","",'迁盟总表'!K21)</x:f>
        <x:v>1086</x:v>
      </x:c>
      <x:c r="L21" s="40" t="n">
        <x:f>IF('迁盟总表'!L21="","",'迁盟总表'!L21)</x:f>
        <x:v>702</x:v>
      </x:c>
      <x:c r="M21" s="40" t="n">
        <x:f>IF('迁盟总表'!M21="","",'迁盟总表'!M21)</x:f>
        <x:v>712</x:v>
      </x:c>
      <x:c r="N21" s="40" t="n">
        <x:f>IF('迁盟总表'!N21="","",'迁盟总表'!N21)</x:f>
        <x:v>755</x:v>
      </x:c>
      <x:c r="O21" s="40" t="n">
        <x:f>IF('迁盟总表'!O21="","",'迁盟总表'!O21)</x:f>
        <x:v>970</x:v>
      </x:c>
      <x:c r="P21" s="40" t="n">
        <x:f>IF('迁盟总表'!P21="","",'迁盟总表'!P21)</x:f>
        <x:v>5039</x:v>
      </x:c>
      <x:c r="Q21" s="43" t="n">
        <x:f>IF('迁盟总表'!X21="","",'迁盟总表'!X21)</x:f>
        <x:v>84.9</x:v>
      </x:c>
      <x:c r="R21" s="27" t="n">
        <x:f>IF('迁盟总表'!Y21="","",'迁盟总表'!Y21)</x:f>
        <x:v>19</x:v>
      </x:c>
      <x:c r="S21" s="55" t="str">
        <x:f>IF('迁盟总表'!Z21="","",'迁盟总表'!Z21)</x:f>
        <x:v>补强一盟：总功勋、实力、战力及六维综合靠前</x:v>
      </x:c>
    </x:row>
    <x:row r="22" ht="20" customHeight="1">
      <x:c r="A22" s="26" t="str">
        <x:f>IF('迁盟总表'!B22="","",'迁盟总表'!B22)</x:f>
        <x:v>玉丨虎啸郑风</x:v>
      </x:c>
      <x:c r="B22" s="27" t="str">
        <x:f>IF('迁盟总表'!C22="","",'迁盟总表'!C22)</x:f>
        <x:v>兰亭</x:v>
      </x:c>
      <x:c r="C22" s="58" t="str">
        <x:f>IF('迁盟总表'!D22="","",'迁盟总表'!D22)</x:f>
        <x:v>兰亭</x:v>
      </x:c>
      <x:c r="D22" s="27" t="str">
        <x:f>IF('迁盟总表'!E22="","",'迁盟总表'!E22)</x:f>
        <x:v>留盟</x:v>
      </x:c>
      <x:c r="E22" s="40" t="n">
        <x:f>IF('迁盟总表'!Q22="","",'迁盟总表'!Q22)</x:f>
        <x:v>7784996358</x:v>
      </x:c>
      <x:c r="F22" s="40" t="n">
        <x:f>IF('迁盟总表'!R22="","",'迁盟总表'!R22)</x:f>
        <x:v>118918626</x:v>
      </x:c>
      <x:c r="G22" s="40" t="n">
        <x:f>IF('迁盟总表'!S22="","",'迁盟总表'!S22)</x:f>
        <x:v>204925288</x:v>
      </x:c>
      <x:c r="H22" s="37" t="n">
        <x:f>IF('迁盟总表'!H22="","",'迁盟总表'!H22)</x:f>
        <x:v>31</x:v>
      </x:c>
      <x:c r="I22" s="37" t="n">
        <x:f>IF('迁盟总表'!I22="","",'迁盟总表'!I22)</x:f>
        <x:v>28</x:v>
      </x:c>
      <x:c r="J22" s="40" t="n">
        <x:f>IF('迁盟总表'!J22="","",'迁盟总表'!J22)</x:f>
        <x:v>1000</x:v>
      </x:c>
      <x:c r="K22" s="40" t="n">
        <x:f>IF('迁盟总表'!K22="","",'迁盟总表'!K22)</x:f>
        <x:v>1000</x:v>
      </x:c>
      <x:c r="L22" s="40" t="n">
        <x:f>IF('迁盟总表'!L22="","",'迁盟总表'!L22)</x:f>
        <x:v>900</x:v>
      </x:c>
      <x:c r="M22" s="40" t="n">
        <x:f>IF('迁盟总表'!M22="","",'迁盟总表'!M22)</x:f>
        <x:v>900</x:v>
      </x:c>
      <x:c r="N22" s="40" t="n">
        <x:f>IF('迁盟总表'!N22="","",'迁盟总表'!N22)</x:f>
        <x:v>1000</x:v>
      </x:c>
      <x:c r="O22" s="40" t="n">
        <x:f>IF('迁盟总表'!O22="","",'迁盟总表'!O22)</x:f>
        <x:v>1000</x:v>
      </x:c>
      <x:c r="P22" s="40" t="n">
        <x:f>IF('迁盟总表'!P22="","",'迁盟总表'!P22)</x:f>
        <x:v>5800</x:v>
      </x:c>
      <x:c r="Q22" s="43" t="n">
        <x:f>IF('迁盟总表'!X22="","",'迁盟总表'!X22)</x:f>
        <x:v>84.8</x:v>
      </x:c>
      <x:c r="R22" s="27" t="n">
        <x:f>IF('迁盟总表'!Y22="","",'迁盟总表'!Y22)</x:f>
        <x:v>20</x:v>
      </x:c>
      <x:c r="S22" s="55" t="str">
        <x:f>IF('迁盟总表'!Z22="","",'迁盟总表'!Z22)</x:f>
        <x:v>保留兰亭战斗骨干</x:v>
      </x:c>
    </x:row>
    <x:row r="23" ht="20" customHeight="1">
      <x:c r="A23" s="26" t="str">
        <x:f>IF('迁盟总表'!B23="","",'迁盟总表'!B23)</x:f>
        <x:v>莫问丶</x:v>
      </x:c>
      <x:c r="B23" s="27" t="str">
        <x:f>IF('迁盟总表'!C23="","",'迁盟总表'!C23)</x:f>
        <x:v>花晨</x:v>
      </x:c>
      <x:c r="C23" s="58" t="str">
        <x:f>IF('迁盟总表'!D23="","",'迁盟总表'!D23)</x:f>
        <x:v>兰亭</x:v>
      </x:c>
      <x:c r="D23" s="27" t="str">
        <x:f>IF('迁盟总表'!E23="","",'迁盟总表'!E23)</x:f>
        <x:v>花晨→兰亭</x:v>
      </x:c>
      <x:c r="E23" s="40" t="n">
        <x:f>IF('迁盟总表'!Q23="","",'迁盟总表'!Q23)</x:f>
        <x:v>4143278434</x:v>
      </x:c>
      <x:c r="F23" s="40" t="n">
        <x:f>IF('迁盟总表'!R23="","",'迁盟总表'!R23)</x:f>
        <x:v>109219061</x:v>
      </x:c>
      <x:c r="G23" s="40" t="n">
        <x:f>IF('迁盟总表'!S23="","",'迁盟总表'!S23)</x:f>
        <x:v>332940632</x:v>
      </x:c>
      <x:c r="H23" s="37" t="n">
        <x:f>IF('迁盟总表'!H23="","",'迁盟总表'!H23)</x:f>
        <x:v>28.8</x:v>
      </x:c>
      <x:c r="I23" s="37" t="n">
        <x:f>IF('迁盟总表'!I23="","",'迁盟总表'!I23)</x:f>
        <x:v>28.8</x:v>
      </x:c>
      <x:c r="J23" s="40" t="n">
        <x:f>IF('迁盟总表'!J23="","",'迁盟总表'!J23)</x:f>
        <x:v>863</x:v>
      </x:c>
      <x:c r="K23" s="40" t="n">
        <x:f>IF('迁盟总表'!K23="","",'迁盟总表'!K23)</x:f>
        <x:v>1160</x:v>
      </x:c>
      <x:c r="L23" s="40" t="n">
        <x:f>IF('迁盟总表'!L23="","",'迁盟总表'!L23)</x:f>
        <x:v>810</x:v>
      </x:c>
      <x:c r="M23" s="40" t="n">
        <x:f>IF('迁盟总表'!M23="","",'迁盟总表'!M23)</x:f>
        <x:v>750</x:v>
      </x:c>
      <x:c r="N23" s="40" t="n">
        <x:f>IF('迁盟总表'!N23="","",'迁盟总表'!N23)</x:f>
        <x:v>860</x:v>
      </x:c>
      <x:c r="O23" s="40" t="n">
        <x:f>IF('迁盟总表'!O23="","",'迁盟总表'!O23)</x:f>
        <x:v>970</x:v>
      </x:c>
      <x:c r="P23" s="40" t="n">
        <x:f>IF('迁盟总表'!P23="","",'迁盟总表'!P23)</x:f>
        <x:v>5413</x:v>
      </x:c>
      <x:c r="Q23" s="43" t="n">
        <x:f>IF('迁盟总表'!X23="","",'迁盟总表'!X23)</x:f>
        <x:v>84.3</x:v>
      </x:c>
      <x:c r="R23" s="27" t="n">
        <x:f>IF('迁盟总表'!Y23="","",'迁盟总表'!Y23)</x:f>
        <x:v>21</x:v>
      </x:c>
      <x:c r="S23" s="55" t="str">
        <x:f>IF('迁盟总表'!Z23="","",'迁盟总表'!Z23)</x:f>
        <x:v>补强一盟：总功勋、实力、战力及六维综合靠前</x:v>
      </x:c>
    </x:row>
    <x:row r="24" ht="20" customHeight="1">
      <x:c r="A24" s="26" t="str">
        <x:f>IF('迁盟总表'!B24="","",'迁盟总表'!B24)</x:f>
        <x:v>潘多拉独角兽</x:v>
      </x:c>
      <x:c r="B24" s="27" t="str">
        <x:f>IF('迁盟总表'!C24="","",'迁盟总表'!C24)</x:f>
        <x:v>玲珑</x:v>
      </x:c>
      <x:c r="C24" s="58" t="str">
        <x:f>IF('迁盟总表'!D24="","",'迁盟总表'!D24)</x:f>
        <x:v>兰亭</x:v>
      </x:c>
      <x:c r="D24" s="27" t="str">
        <x:f>IF('迁盟总表'!E24="","",'迁盟总表'!E24)</x:f>
        <x:v>玲珑→兰亭</x:v>
      </x:c>
      <x:c r="E24" s="40" t="n">
        <x:f>IF('迁盟总表'!Q24="","",'迁盟总表'!Q24)</x:f>
        <x:v>7951949124</x:v>
      </x:c>
      <x:c r="F24" s="40" t="n">
        <x:f>IF('迁盟总表'!R24="","",'迁盟总表'!R24)</x:f>
        <x:v>113232915</x:v>
      </x:c>
      <x:c r="G24" s="40" t="n">
        <x:f>IF('迁盟总表'!S24="","",'迁盟总表'!S24)</x:f>
        <x:v>295064424</x:v>
      </x:c>
      <x:c r="H24" s="37" t="n">
        <x:f>IF('迁盟总表'!H24="","",'迁盟总表'!H24)</x:f>
        <x:v>27.8</x:v>
      </x:c>
      <x:c r="I24" s="37" t="n">
        <x:f>IF('迁盟总表'!I24="","",'迁盟总表'!I24)</x:f>
        <x:v>27.8</x:v>
      </x:c>
      <x:c r="J24" s="40" t="n">
        <x:f>IF('迁盟总表'!J24="","",'迁盟总表'!J24)</x:f>
        <x:v>730</x:v>
      </x:c>
      <x:c r="K24" s="40" t="n">
        <x:f>IF('迁盟总表'!K24="","",'迁盟总表'!K24)</x:f>
        <x:v>870</x:v>
      </x:c>
      <x:c r="L24" s="40" t="n">
        <x:f>IF('迁盟总表'!L24="","",'迁盟总表'!L24)</x:f>
        <x:v>708</x:v>
      </x:c>
      <x:c r="M24" s="40" t="n">
        <x:f>IF('迁盟总表'!M24="","",'迁盟总表'!M24)</x:f>
        <x:v>682</x:v>
      </x:c>
      <x:c r="N24" s="40" t="n">
        <x:f>IF('迁盟总表'!N24="","",'迁盟总表'!N24)</x:f>
        <x:v>745</x:v>
      </x:c>
      <x:c r="O24" s="40" t="n">
        <x:f>IF('迁盟总表'!O24="","",'迁盟总表'!O24)</x:f>
        <x:v>841</x:v>
      </x:c>
      <x:c r="P24" s="40" t="n">
        <x:f>IF('迁盟总表'!P24="","",'迁盟总表'!P24)</x:f>
        <x:v>4576</x:v>
      </x:c>
      <x:c r="Q24" s="43" t="n">
        <x:f>IF('迁盟总表'!X24="","",'迁盟总表'!X24)</x:f>
        <x:v>84.1</x:v>
      </x:c>
      <x:c r="R24" s="27" t="n">
        <x:f>IF('迁盟总表'!Y24="","",'迁盟总表'!Y24)</x:f>
        <x:v>23</x:v>
      </x:c>
      <x:c r="S24" s="55" t="str">
        <x:f>IF('迁盟总表'!Z24="","",'迁盟总表'!Z24)</x:f>
        <x:v>补强一盟：总功勋、实力、战力及六维综合靠前</x:v>
      </x:c>
    </x:row>
    <x:row r="25" ht="20" customHeight="1">
      <x:c r="A25" s="26" t="str">
        <x:f>IF('迁盟总表'!B25="","",'迁盟总表'!B25)</x:f>
        <x:v>喵喵睡不着</x:v>
      </x:c>
      <x:c r="B25" s="27" t="str">
        <x:f>IF('迁盟总表'!C25="","",'迁盟总表'!C25)</x:f>
        <x:v>花晨</x:v>
      </x:c>
      <x:c r="C25" s="58" t="str">
        <x:f>IF('迁盟总表'!D25="","",'迁盟总表'!D25)</x:f>
        <x:v>兰亭</x:v>
      </x:c>
      <x:c r="D25" s="27" t="str">
        <x:f>IF('迁盟总表'!E25="","",'迁盟总表'!E25)</x:f>
        <x:v>花晨→兰亭</x:v>
      </x:c>
      <x:c r="E25" s="40" t="n">
        <x:f>IF('迁盟总表'!Q25="","",'迁盟总表'!Q25)</x:f>
        <x:v>9117978892</x:v>
      </x:c>
      <x:c r="F25" s="40" t="n">
        <x:f>IF('迁盟总表'!R25="","",'迁盟总表'!R25)</x:f>
        <x:v>104108672</x:v>
      </x:c>
      <x:c r="G25" s="40" t="n">
        <x:f>IF('迁盟总表'!S25="","",'迁盟总表'!S25)</x:f>
        <x:v>294855881</x:v>
      </x:c>
      <x:c r="H25" s="37" t="n">
        <x:f>IF('迁盟总表'!H25="","",'迁盟总表'!H25)</x:f>
        <x:v>30.8</x:v>
      </x:c>
      <x:c r="I25" s="37" t="n">
        <x:f>IF('迁盟总表'!I25="","",'迁盟总表'!I25)</x:f>
        <x:v>28.8</x:v>
      </x:c>
      <x:c r="J25" s="40" t="n">
        <x:f>IF('迁盟总表'!J25="","",'迁盟总表'!J25)</x:f>
        <x:v>988</x:v>
      </x:c>
      <x:c r="K25" s="40" t="n">
        <x:f>IF('迁盟总表'!K25="","",'迁盟总表'!K25)</x:f>
        <x:v>1133</x:v>
      </x:c>
      <x:c r="L25" s="40" t="n">
        <x:f>IF('迁盟总表'!L25="","",'迁盟总表'!L25)</x:f>
        <x:v>829</x:v>
      </x:c>
      <x:c r="M25" s="40" t="n">
        <x:f>IF('迁盟总表'!M25="","",'迁盟总表'!M25)</x:f>
        <x:v>776</x:v>
      </x:c>
      <x:c r="N25" s="40" t="n">
        <x:f>IF('迁盟总表'!N25="","",'迁盟总表'!N25)</x:f>
        <x:v>846</x:v>
      </x:c>
      <x:c r="O25" s="40" t="n">
        <x:f>IF('迁盟总表'!O25="","",'迁盟总表'!O25)</x:f>
        <x:v>983</x:v>
      </x:c>
      <x:c r="P25" s="40" t="n">
        <x:f>IF('迁盟总表'!P25="","",'迁盟总表'!P25)</x:f>
        <x:v>5555</x:v>
      </x:c>
      <x:c r="Q25" s="43" t="n">
        <x:f>IF('迁盟总表'!X25="","",'迁盟总表'!X25)</x:f>
        <x:v>83.5</x:v>
      </x:c>
      <x:c r="R25" s="27" t="n">
        <x:f>IF('迁盟总表'!Y25="","",'迁盟总表'!Y25)</x:f>
        <x:v>24</x:v>
      </x:c>
      <x:c r="S25" s="55" t="str">
        <x:f>IF('迁盟总表'!Z25="","",'迁盟总表'!Z25)</x:f>
        <x:v>补强一盟：总功勋、实力、战力及六维综合靠前</x:v>
      </x:c>
    </x:row>
    <x:row r="26" ht="20" customHeight="1">
      <x:c r="A26" s="26" t="str">
        <x:f>IF('迁盟总表'!B26="","",'迁盟总表'!B26)</x:f>
        <x:v>于将军</x:v>
      </x:c>
      <x:c r="B26" s="27" t="str">
        <x:f>IF('迁盟总表'!C26="","",'迁盟总表'!C26)</x:f>
        <x:v>玲珑</x:v>
      </x:c>
      <x:c r="C26" s="58" t="str">
        <x:f>IF('迁盟总表'!D26="","",'迁盟总表'!D26)</x:f>
        <x:v>兰亭</x:v>
      </x:c>
      <x:c r="D26" s="27" t="str">
        <x:f>IF('迁盟总表'!E26="","",'迁盟总表'!E26)</x:f>
        <x:v>玲珑→兰亭</x:v>
      </x:c>
      <x:c r="E26" s="40" t="n">
        <x:f>IF('迁盟总表'!Q26="","",'迁盟总表'!Q26)</x:f>
        <x:v>8369975628</x:v>
      </x:c>
      <x:c r="F26" s="40" t="n">
        <x:f>IF('迁盟总表'!R26="","",'迁盟总表'!R26)</x:f>
        <x:v>101215175</x:v>
      </x:c>
      <x:c r="G26" s="40" t="n">
        <x:f>IF('迁盟总表'!S26="","",'迁盟总表'!S26)</x:f>
        <x:v>342598022</x:v>
      </x:c>
      <x:c r="H26" s="37" t="n">
        <x:f>IF('迁盟总表'!H26="","",'迁盟总表'!H26)</x:f>
        <x:v>28.8</x:v>
      </x:c>
      <x:c r="I26" s="37" t="n">
        <x:f>IF('迁盟总表'!I26="","",'迁盟总表'!I26)</x:f>
        <x:v>28.8</x:v>
      </x:c>
      <x:c r="J26" s="40" t="n">
        <x:f>IF('迁盟总表'!J26="","",'迁盟总表'!J26)</x:f>
        <x:v>881</x:v>
      </x:c>
      <x:c r="K26" s="40" t="n">
        <x:f>IF('迁盟总表'!K26="","",'迁盟总表'!K26)</x:f>
        <x:v>1033</x:v>
      </x:c>
      <x:c r="L26" s="40" t="n">
        <x:f>IF('迁盟总表'!L26="","",'迁盟总表'!L26)</x:f>
        <x:v>742</x:v>
      </x:c>
      <x:c r="M26" s="40" t="n">
        <x:f>IF('迁盟总表'!M26="","",'迁盟总表'!M26)</x:f>
        <x:v>684</x:v>
      </x:c>
      <x:c r="N26" s="40" t="n">
        <x:f>IF('迁盟总表'!N26="","",'迁盟总表'!N26)</x:f>
        <x:v>778</x:v>
      </x:c>
      <x:c r="O26" s="40" t="n">
        <x:f>IF('迁盟总表'!O26="","",'迁盟总表'!O26)</x:f>
        <x:v>910</x:v>
      </x:c>
      <x:c r="P26" s="40" t="n">
        <x:f>IF('迁盟总表'!P26="","",'迁盟总表'!P26)</x:f>
        <x:v>5028</x:v>
      </x:c>
      <x:c r="Q26" s="43" t="n">
        <x:f>IF('迁盟总表'!X26="","",'迁盟总表'!X26)</x:f>
        <x:v>83.1</x:v>
      </x:c>
      <x:c r="R26" s="27" t="n">
        <x:f>IF('迁盟总表'!Y26="","",'迁盟总表'!Y26)</x:f>
        <x:v>25</x:v>
      </x:c>
      <x:c r="S26" s="55" t="str">
        <x:f>IF('迁盟总表'!Z26="","",'迁盟总表'!Z26)</x:f>
        <x:v>补强一盟：总功勋、实力、战力及六维综合靠前</x:v>
      </x:c>
    </x:row>
    <x:row r="27" ht="20" customHeight="1">
      <x:c r="A27" s="26" t="str">
        <x:f>IF('迁盟总表'!B27="","",'迁盟总表'!B27)</x:f>
        <x:v>村口集团晚风</x:v>
      </x:c>
      <x:c r="B27" s="27" t="str">
        <x:f>IF('迁盟总表'!C27="","",'迁盟总表'!C27)</x:f>
        <x:v>兰亭</x:v>
      </x:c>
      <x:c r="C27" s="58" t="str">
        <x:f>IF('迁盟总表'!D27="","",'迁盟总表'!D27)</x:f>
        <x:v>兰亭</x:v>
      </x:c>
      <x:c r="D27" s="27" t="str">
        <x:f>IF('迁盟总表'!E27="","",'迁盟总表'!E27)</x:f>
        <x:v>留盟</x:v>
      </x:c>
      <x:c r="E27" s="40" t="n">
        <x:f>IF('迁盟总表'!Q27="","",'迁盟总表'!Q27)</x:f>
        <x:v>4083397672</x:v>
      </x:c>
      <x:c r="F27" s="40" t="n">
        <x:f>IF('迁盟总表'!R27="","",'迁盟总表'!R27)</x:f>
        <x:v>98834927</x:v>
      </x:c>
      <x:c r="G27" s="40" t="n">
        <x:f>IF('迁盟总表'!S27="","",'迁盟总表'!S27)</x:f>
        <x:v>369697106</x:v>
      </x:c>
      <x:c r="H27" s="37" t="n">
        <x:f>IF('迁盟总表'!H27="","",'迁盟总表'!H27)</x:f>
        <x:v>28.8</x:v>
      </x:c>
      <x:c r="I27" s="37" t="n">
        <x:f>IF('迁盟总表'!I27="","",'迁盟总表'!I27)</x:f>
        <x:v>28.8</x:v>
      </x:c>
      <x:c r="J27" s="40" t="n">
        <x:f>IF('迁盟总表'!J27="","",'迁盟总表'!J27)</x:f>
        <x:v>855</x:v>
      </x:c>
      <x:c r="K27" s="40" t="n">
        <x:f>IF('迁盟总表'!K27="","",'迁盟总表'!K27)</x:f>
        <x:v>1130</x:v>
      </x:c>
      <x:c r="L27" s="40" t="n">
        <x:f>IF('迁盟总表'!L27="","",'迁盟总表'!L27)</x:f>
        <x:v>807</x:v>
      </x:c>
      <x:c r="M27" s="40" t="n">
        <x:f>IF('迁盟总表'!M27="","",'迁盟总表'!M27)</x:f>
        <x:v>873</x:v>
      </x:c>
      <x:c r="N27" s="40" t="n">
        <x:f>IF('迁盟总表'!N27="","",'迁盟总表'!N27)</x:f>
        <x:v>877</x:v>
      </x:c>
      <x:c r="O27" s="40" t="n">
        <x:f>IF('迁盟总表'!O27="","",'迁盟总表'!O27)</x:f>
        <x:v>977</x:v>
      </x:c>
      <x:c r="P27" s="40" t="n">
        <x:f>IF('迁盟总表'!P27="","",'迁盟总表'!P27)</x:f>
        <x:v>5519</x:v>
      </x:c>
      <x:c r="Q27" s="43" t="n">
        <x:f>IF('迁盟总表'!X27="","",'迁盟总表'!X27)</x:f>
        <x:v>82.8</x:v>
      </x:c>
      <x:c r="R27" s="27" t="n">
        <x:f>IF('迁盟总表'!Y27="","",'迁盟总表'!Y27)</x:f>
        <x:v>26</x:v>
      </x:c>
      <x:c r="S27" s="55" t="str">
        <x:f>IF('迁盟总表'!Z27="","",'迁盟总表'!Z27)</x:f>
        <x:v>保留兰亭战斗骨干</x:v>
      </x:c>
    </x:row>
    <x:row r="28" ht="20" customHeight="1">
      <x:c r="A28" s="26" t="str">
        <x:f>IF('迁盟总表'!B28="","",'迁盟总表'!B28)</x:f>
        <x:v>小老弟</x:v>
      </x:c>
      <x:c r="B28" s="27" t="str">
        <x:f>IF('迁盟总表'!C28="","",'迁盟总表'!C28)</x:f>
        <x:v>玲珑</x:v>
      </x:c>
      <x:c r="C28" s="58" t="str">
        <x:f>IF('迁盟总表'!D28="","",'迁盟总表'!D28)</x:f>
        <x:v>兰亭</x:v>
      </x:c>
      <x:c r="D28" s="27" t="str">
        <x:f>IF('迁盟总表'!E28="","",'迁盟总表'!E28)</x:f>
        <x:v>玲珑→兰亭</x:v>
      </x:c>
      <x:c r="E28" s="40" t="n">
        <x:f>IF('迁盟总表'!Q28="","",'迁盟总表'!Q28)</x:f>
        <x:v>5935394034</x:v>
      </x:c>
      <x:c r="F28" s="40" t="n">
        <x:f>IF('迁盟总表'!R28="","",'迁盟总表'!R28)</x:f>
        <x:v>100893712</x:v>
      </x:c>
      <x:c r="G28" s="40" t="n">
        <x:f>IF('迁盟总表'!S28="","",'迁盟总表'!S28)</x:f>
        <x:v>372031563</x:v>
      </x:c>
      <x:c r="H28" s="37" t="n">
        <x:f>IF('迁盟总表'!H28="","",'迁盟总表'!H28)</x:f>
        <x:v>28.88</x:v>
      </x:c>
      <x:c r="I28" s="37" t="n">
        <x:f>IF('迁盟总表'!I28="","",'迁盟总表'!I28)</x:f>
        <x:v>19.5</x:v>
      </x:c>
      <x:c r="J28" s="40" t="n">
        <x:f>IF('迁盟总表'!J28="","",'迁盟总表'!J28)</x:f>
        <x:v>770</x:v>
      </x:c>
      <x:c r="K28" s="40" t="n">
        <x:f>IF('迁盟总表'!K28="","",'迁盟总表'!K28)</x:f>
        <x:v>993</x:v>
      </x:c>
      <x:c r="L28" s="40" t="n">
        <x:f>IF('迁盟总表'!L28="","",'迁盟总表'!L28)</x:f>
        <x:v>672</x:v>
      </x:c>
      <x:c r="M28" s="40" t="n">
        <x:f>IF('迁盟总表'!M28="","",'迁盟总表'!M28)</x:f>
        <x:v>629</x:v>
      </x:c>
      <x:c r="N28" s="40" t="n">
        <x:f>IF('迁盟总表'!N28="","",'迁盟总表'!N28)</x:f>
        <x:v>737</x:v>
      </x:c>
      <x:c r="O28" s="40" t="n">
        <x:f>IF('迁盟总表'!O28="","",'迁盟总表'!O28)</x:f>
        <x:v>844</x:v>
      </x:c>
      <x:c r="P28" s="40" t="n">
        <x:f>IF('迁盟总表'!P28="","",'迁盟总表'!P28)</x:f>
        <x:v>4645</x:v>
      </x:c>
      <x:c r="Q28" s="43" t="n">
        <x:f>IF('迁盟总表'!X28="","",'迁盟总表'!X28)</x:f>
        <x:v>82.7</x:v>
      </x:c>
      <x:c r="R28" s="27" t="n">
        <x:f>IF('迁盟总表'!Y28="","",'迁盟总表'!Y28)</x:f>
        <x:v>27</x:v>
      </x:c>
      <x:c r="S28" s="55" t="str">
        <x:f>IF('迁盟总表'!Z28="","",'迁盟总表'!Z28)</x:f>
        <x:v>补强一盟：总功勋、实力、战力及六维综合靠前</x:v>
      </x:c>
    </x:row>
    <x:row r="29" ht="20" customHeight="1">
      <x:c r="A29" s="26" t="str">
        <x:f>IF('迁盟总表'!B29="","",'迁盟总表'!B29)</x:f>
        <x:v>洛雪儿</x:v>
      </x:c>
      <x:c r="B29" s="27" t="str">
        <x:f>IF('迁盟总表'!C29="","",'迁盟总表'!C29)</x:f>
        <x:v>兰亭</x:v>
      </x:c>
      <x:c r="C29" s="58" t="str">
        <x:f>IF('迁盟总表'!D29="","",'迁盟总表'!D29)</x:f>
        <x:v>兰亭</x:v>
      </x:c>
      <x:c r="D29" s="27" t="str">
        <x:f>IF('迁盟总表'!E29="","",'迁盟总表'!E29)</x:f>
        <x:v>留盟</x:v>
      </x:c>
      <x:c r="E29" s="40" t="n">
        <x:f>IF('迁盟总表'!Q29="","",'迁盟总表'!Q29)</x:f>
        <x:v>11144801688</x:v>
      </x:c>
      <x:c r="F29" s="40" t="n">
        <x:f>IF('迁盟总表'!R29="","",'迁盟总表'!R29)</x:f>
        <x:v>99068687</x:v>
      </x:c>
      <x:c r="G29" s="40" t="n">
        <x:f>IF('迁盟总表'!S29="","",'迁盟总表'!S29)</x:f>
        <x:v>292399284</x:v>
      </x:c>
      <x:c r="H29" s="37" t="n">
        <x:f>IF('迁盟总表'!H29="","",'迁盟总表'!H29)</x:f>
        <x:v>28.8</x:v>
      </x:c>
      <x:c r="I29" s="37" t="n">
        <x:f>IF('迁盟总表'!I29="","",'迁盟总表'!I29)</x:f>
        <x:v>28.8</x:v>
      </x:c>
      <x:c r="J29" s="40" t="n">
        <x:f>IF('迁盟总表'!J29="","",'迁盟总表'!J29)</x:f>
        <x:v>964</x:v>
      </x:c>
      <x:c r="K29" s="40" t="n">
        <x:f>IF('迁盟总表'!K29="","",'迁盟总表'!K29)</x:f>
        <x:v>1047</x:v>
      </x:c>
      <x:c r="L29" s="40" t="n">
        <x:f>IF('迁盟总表'!L29="","",'迁盟总表'!L29)</x:f>
        <x:v>869</x:v>
      </x:c>
      <x:c r="M29" s="40" t="n">
        <x:f>IF('迁盟总表'!M29="","",'迁盟总表'!M29)</x:f>
        <x:v>1015</x:v>
      </x:c>
      <x:c r="N29" s="40" t="n">
        <x:f>IF('迁盟总表'!N29="","",'迁盟总表'!N29)</x:f>
        <x:v>886</x:v>
      </x:c>
      <x:c r="O29" s="40" t="n">
        <x:f>IF('迁盟总表'!O29="","",'迁盟总表'!O29)</x:f>
        <x:v>935</x:v>
      </x:c>
      <x:c r="P29" s="40" t="n">
        <x:f>IF('迁盟总表'!P29="","",'迁盟总表'!P29)</x:f>
        <x:v>5716</x:v>
      </x:c>
      <x:c r="Q29" s="43" t="n">
        <x:f>IF('迁盟总表'!X29="","",'迁盟总表'!X29)</x:f>
        <x:v>82.7</x:v>
      </x:c>
      <x:c r="R29" s="27" t="n">
        <x:f>IF('迁盟总表'!Y29="","",'迁盟总表'!Y29)</x:f>
        <x:v>27</x:v>
      </x:c>
      <x:c r="S29" s="55" t="str">
        <x:f>IF('迁盟总表'!Z29="","",'迁盟总表'!Z29)</x:f>
        <x:v>保留兰亭战斗骨干</x:v>
      </x:c>
    </x:row>
    <x:row r="30" ht="20" customHeight="1">
      <x:c r="A30" s="26" t="str">
        <x:f>IF('迁盟总表'!B30="","",'迁盟总表'!B30)</x:f>
        <x:v>很安心</x:v>
      </x:c>
      <x:c r="B30" s="27" t="str">
        <x:f>IF('迁盟总表'!C30="","",'迁盟总表'!C30)</x:f>
        <x:v>玲珑</x:v>
      </x:c>
      <x:c r="C30" s="58" t="str">
        <x:f>IF('迁盟总表'!D30="","",'迁盟总表'!D30)</x:f>
        <x:v>兰亭</x:v>
      </x:c>
      <x:c r="D30" s="27" t="str">
        <x:f>IF('迁盟总表'!E30="","",'迁盟总表'!E30)</x:f>
        <x:v>玲珑→兰亭</x:v>
      </x:c>
      <x:c r="E30" s="40" t="n">
        <x:f>IF('迁盟总表'!Q30="","",'迁盟总表'!Q30)</x:f>
        <x:v>4290017388</x:v>
      </x:c>
      <x:c r="F30" s="40" t="n">
        <x:f>IF('迁盟总表'!R30="","",'迁盟总表'!R30)</x:f>
        <x:v>100149729</x:v>
      </x:c>
      <x:c r="G30" s="40" t="n">
        <x:f>IF('迁盟总表'!S30="","",'迁盟总表'!S30)</x:f>
        <x:v>365318817</x:v>
      </x:c>
      <x:c r="H30" s="37" t="n">
        <x:f>IF('迁盟总表'!H30="","",'迁盟总表'!H30)</x:f>
        <x:v>28.8</x:v>
      </x:c>
      <x:c r="I30" s="37" t="n">
        <x:f>IF('迁盟总表'!I30="","",'迁盟总表'!I30)</x:f>
        <x:v>26.8</x:v>
      </x:c>
      <x:c r="J30" s="40" t="n">
        <x:f>IF('迁盟总表'!J30="","",'迁盟总表'!J30)</x:f>
        <x:v>780</x:v>
      </x:c>
      <x:c r="K30" s="40" t="n">
        <x:f>IF('迁盟总表'!K30="","",'迁盟总表'!K30)</x:f>
        <x:v>1035</x:v>
      </x:c>
      <x:c r="L30" s="40" t="n">
        <x:f>IF('迁盟总表'!L30="","",'迁盟总表'!L30)</x:f>
        <x:v>735</x:v>
      </x:c>
      <x:c r="M30" s="40" t="n">
        <x:f>IF('迁盟总表'!M30="","",'迁盟总表'!M30)</x:f>
        <x:v>700</x:v>
      </x:c>
      <x:c r="N30" s="40" t="n">
        <x:f>IF('迁盟总表'!N30="","",'迁盟总表'!N30)</x:f>
        <x:v>845</x:v>
      </x:c>
      <x:c r="O30" s="40" t="n">
        <x:f>IF('迁盟总表'!O30="","",'迁盟总表'!O30)</x:f>
        <x:v>930</x:v>
      </x:c>
      <x:c r="P30" s="40" t="n">
        <x:f>IF('迁盟总表'!P30="","",'迁盟总表'!P30)</x:f>
        <x:v>5025</x:v>
      </x:c>
      <x:c r="Q30" s="43" t="n">
        <x:f>IF('迁盟总表'!X30="","",'迁盟总表'!X30)</x:f>
        <x:v>82.4</x:v>
      </x:c>
      <x:c r="R30" s="27" t="n">
        <x:f>IF('迁盟总表'!Y30="","",'迁盟总表'!Y30)</x:f>
        <x:v>30</x:v>
      </x:c>
      <x:c r="S30" s="55" t="str">
        <x:f>IF('迁盟总表'!Z30="","",'迁盟总表'!Z30)</x:f>
        <x:v>补强一盟：总功勋、实力、战力及六维综合靠前</x:v>
      </x:c>
    </x:row>
    <x:row r="31" ht="20" customHeight="1">
      <x:c r="A31" s="26" t="str">
        <x:f>IF('迁盟总表'!B31="","",'迁盟总表'!B31)</x:f>
        <x:v>月亮的人</x:v>
      </x:c>
      <x:c r="B31" s="27" t="str">
        <x:f>IF('迁盟总表'!C31="","",'迁盟总表'!C31)</x:f>
        <x:v>兰亭</x:v>
      </x:c>
      <x:c r="C31" s="58" t="str">
        <x:f>IF('迁盟总表'!D31="","",'迁盟总表'!D31)</x:f>
        <x:v>兰亭</x:v>
      </x:c>
      <x:c r="D31" s="27" t="str">
        <x:f>IF('迁盟总表'!E31="","",'迁盟总表'!E31)</x:f>
        <x:v>留盟</x:v>
      </x:c>
      <x:c r="E31" s="40" t="n">
        <x:f>IF('迁盟总表'!Q31="","",'迁盟总表'!Q31)</x:f>
        <x:v>6738702683</x:v>
      </x:c>
      <x:c r="F31" s="40" t="n">
        <x:f>IF('迁盟总表'!R31="","",'迁盟总表'!R31)</x:f>
        <x:v>102500281</x:v>
      </x:c>
      <x:c r="G31" s="40" t="n">
        <x:f>IF('迁盟总表'!S31="","",'迁盟总表'!S31)</x:f>
        <x:v>321448723</x:v>
      </x:c>
      <x:c r="H31" s="37" t="n">
        <x:f>IF('迁盟总表'!H31="","",'迁盟总表'!H31)</x:f>
        <x:v>28.8</x:v>
      </x:c>
      <x:c r="I31" s="37" t="n">
        <x:f>IF('迁盟总表'!I31="","",'迁盟总表'!I31)</x:f>
        <x:v>28.8</x:v>
      </x:c>
      <x:c r="J31" s="40" t="n">
        <x:f>IF('迁盟总表'!J31="","",'迁盟总表'!J31)</x:f>
        <x:v>794</x:v>
      </x:c>
      <x:c r="K31" s="40" t="n">
        <x:f>IF('迁盟总表'!K31="","",'迁盟总表'!K31)</x:f>
        <x:v>1032</x:v>
      </x:c>
      <x:c r="L31" s="40" t="n">
        <x:f>IF('迁盟总表'!L31="","",'迁盟总表'!L31)</x:f>
        <x:v>722</x:v>
      </x:c>
      <x:c r="M31" s="40" t="n">
        <x:f>IF('迁盟总表'!M31="","",'迁盟总表'!M31)</x:f>
        <x:v>720</x:v>
      </x:c>
      <x:c r="N31" s="40" t="n">
        <x:f>IF('迁盟总表'!N31="","",'迁盟总表'!N31)</x:f>
        <x:v>721</x:v>
      </x:c>
      <x:c r="O31" s="40" t="n">
        <x:f>IF('迁盟总表'!O31="","",'迁盟总表'!O31)</x:f>
        <x:v>847</x:v>
      </x:c>
      <x:c r="P31" s="40" t="n">
        <x:f>IF('迁盟总表'!P31="","",'迁盟总表'!P31)</x:f>
        <x:v>4836</x:v>
      </x:c>
      <x:c r="Q31" s="43" t="n">
        <x:f>IF('迁盟总表'!X31="","",'迁盟总表'!X31)</x:f>
        <x:v>82.2</x:v>
      </x:c>
      <x:c r="R31" s="27" t="n">
        <x:f>IF('迁盟总表'!Y31="","",'迁盟总表'!Y31)</x:f>
        <x:v>32</x:v>
      </x:c>
      <x:c r="S31" s="55" t="str">
        <x:f>IF('迁盟总表'!Z31="","",'迁盟总表'!Z31)</x:f>
        <x:v>保留兰亭战斗骨干</x:v>
      </x:c>
    </x:row>
    <x:row r="32" ht="20" customHeight="1">
      <x:c r="A32" s="26" t="str">
        <x:f>IF('迁盟总表'!B32="","",'迁盟总表'!B32)</x:f>
        <x:v>展彦笑</x:v>
      </x:c>
      <x:c r="B32" s="27" t="str">
        <x:f>IF('迁盟总表'!C32="","",'迁盟总表'!C32)</x:f>
        <x:v>兰亭</x:v>
      </x:c>
      <x:c r="C32" s="58" t="str">
        <x:f>IF('迁盟总表'!D32="","",'迁盟总表'!D32)</x:f>
        <x:v>兰亭</x:v>
      </x:c>
      <x:c r="D32" s="27" t="str">
        <x:f>IF('迁盟总表'!E32="","",'迁盟总表'!E32)</x:f>
        <x:v>留盟</x:v>
      </x:c>
      <x:c r="E32" s="40" t="n">
        <x:f>IF('迁盟总表'!Q32="","",'迁盟总表'!Q32)</x:f>
        <x:v>5695991196</x:v>
      </x:c>
      <x:c r="F32" s="40" t="n">
        <x:f>IF('迁盟总表'!R32="","",'迁盟总表'!R32)</x:f>
        <x:v>99376391</x:v>
      </x:c>
      <x:c r="G32" s="40" t="n">
        <x:f>IF('迁盟总表'!S32="","",'迁盟总表'!S32)</x:f>
        <x:v>322855378</x:v>
      </x:c>
      <x:c r="H32" s="37" t="str">
        <x:f>IF('迁盟总表'!H32="","",'迁盟总表'!H32)</x:f>
      </x:c>
      <x:c r="I32" s="37" t="str">
        <x:f>IF('迁盟总表'!I32="","",'迁盟总表'!I32)</x:f>
      </x:c>
      <x:c r="J32" s="40" t="str">
        <x:f>IF('迁盟总表'!J32="","",'迁盟总表'!J32)</x:f>
      </x:c>
      <x:c r="K32" s="40" t="str">
        <x:f>IF('迁盟总表'!K32="","",'迁盟总表'!K32)</x:f>
      </x:c>
      <x:c r="L32" s="40" t="str">
        <x:f>IF('迁盟总表'!L32="","",'迁盟总表'!L32)</x:f>
      </x:c>
      <x:c r="M32" s="40" t="str">
        <x:f>IF('迁盟总表'!M32="","",'迁盟总表'!M32)</x:f>
      </x:c>
      <x:c r="N32" s="40" t="str">
        <x:f>IF('迁盟总表'!N32="","",'迁盟总表'!N32)</x:f>
      </x:c>
      <x:c r="O32" s="40" t="str">
        <x:f>IF('迁盟总表'!O32="","",'迁盟总表'!O32)</x:f>
      </x:c>
      <x:c r="P32" s="40" t="str">
        <x:f>IF('迁盟总表'!P32="","",'迁盟总表'!P32)</x:f>
      </x:c>
      <x:c r="Q32" s="43" t="n">
        <x:f>IF('迁盟总表'!X32="","",'迁盟总表'!X32)</x:f>
        <x:v>81.7</x:v>
      </x:c>
      <x:c r="R32" s="27" t="n">
        <x:f>IF('迁盟总表'!Y32="","",'迁盟总表'!Y32)</x:f>
        <x:v>34</x:v>
      </x:c>
      <x:c r="S32" s="55" t="str">
        <x:f>IF('迁盟总表'!Z32="","",'迁盟总表'!Z32)</x:f>
        <x:v>保留兰亭战斗骨干</x:v>
      </x:c>
    </x:row>
    <x:row r="33" ht="20" customHeight="1">
      <x:c r="A33" s="26" t="str">
        <x:f>IF('迁盟总表'!B33="","",'迁盟总表'!B33)</x:f>
        <x:v>不是泥</x:v>
      </x:c>
      <x:c r="B33" s="27" t="str">
        <x:f>IF('迁盟总表'!C33="","",'迁盟总表'!C33)</x:f>
        <x:v>花晨</x:v>
      </x:c>
      <x:c r="C33" s="58" t="str">
        <x:f>IF('迁盟总表'!D33="","",'迁盟总表'!D33)</x:f>
        <x:v>兰亭</x:v>
      </x:c>
      <x:c r="D33" s="27" t="str">
        <x:f>IF('迁盟总表'!E33="","",'迁盟总表'!E33)</x:f>
        <x:v>花晨→兰亭</x:v>
      </x:c>
      <x:c r="E33" s="40" t="n">
        <x:f>IF('迁盟总表'!Q33="","",'迁盟总表'!Q33)</x:f>
        <x:v>7526451790</x:v>
      </x:c>
      <x:c r="F33" s="40" t="n">
        <x:f>IF('迁盟总表'!R33="","",'迁盟总表'!R33)</x:f>
        <x:v>96362607</x:v>
      </x:c>
      <x:c r="G33" s="40" t="n">
        <x:f>IF('迁盟总表'!S33="","",'迁盟总表'!S33)</x:f>
        <x:v>337495986</x:v>
      </x:c>
      <x:c r="H33" s="37" t="n">
        <x:f>IF('迁盟总表'!H33="","",'迁盟总表'!H33)</x:f>
        <x:v>28.8</x:v>
      </x:c>
      <x:c r="I33" s="37" t="n">
        <x:f>IF('迁盟总表'!I33="","",'迁盟总表'!I33)</x:f>
        <x:v>28.8</x:v>
      </x:c>
      <x:c r="J33" s="40" t="n">
        <x:f>IF('迁盟总表'!J33="","",'迁盟总表'!J33)</x:f>
        <x:v>902</x:v>
      </x:c>
      <x:c r="K33" s="40" t="n">
        <x:f>IF('迁盟总表'!K33="","",'迁盟总表'!K33)</x:f>
        <x:v>1040</x:v>
      </x:c>
      <x:c r="L33" s="40" t="n">
        <x:f>IF('迁盟总表'!L33="","",'迁盟总表'!L33)</x:f>
        <x:v>717</x:v>
      </x:c>
      <x:c r="M33" s="40" t="n">
        <x:f>IF('迁盟总表'!M33="","",'迁盟总表'!M33)</x:f>
        <x:v>683</x:v>
      </x:c>
      <x:c r="N33" s="40" t="n">
        <x:f>IF('迁盟总表'!N33="","",'迁盟总表'!N33)</x:f>
        <x:v>767</x:v>
      </x:c>
      <x:c r="O33" s="40" t="n">
        <x:f>IF('迁盟总表'!O33="","",'迁盟总表'!O33)</x:f>
        <x:v>930</x:v>
      </x:c>
      <x:c r="P33" s="40" t="n">
        <x:f>IF('迁盟总表'!P33="","",'迁盟总表'!P33)</x:f>
        <x:v>5039</x:v>
      </x:c>
      <x:c r="Q33" s="43" t="n">
        <x:f>IF('迁盟总表'!X33="","",'迁盟总表'!X33)</x:f>
        <x:v>81.6</x:v>
      </x:c>
      <x:c r="R33" s="27" t="n">
        <x:f>IF('迁盟总表'!Y33="","",'迁盟总表'!Y33)</x:f>
        <x:v>35</x:v>
      </x:c>
      <x:c r="S33" s="55" t="str">
        <x:f>IF('迁盟总表'!Z33="","",'迁盟总表'!Z33)</x:f>
        <x:v>补强一盟：总功勋、实力、战力及六维综合靠前</x:v>
      </x:c>
    </x:row>
    <x:row r="34" ht="20" customHeight="1">
      <x:c r="A34" s="26" t="str">
        <x:f>IF('迁盟总表'!B34="","",'迁盟总表'!B34)</x:f>
        <x:v>当当当</x:v>
      </x:c>
      <x:c r="B34" s="27" t="str">
        <x:f>IF('迁盟总表'!C34="","",'迁盟总表'!C34)</x:f>
        <x:v>玲珑</x:v>
      </x:c>
      <x:c r="C34" s="58" t="str">
        <x:f>IF('迁盟总表'!D34="","",'迁盟总表'!D34)</x:f>
        <x:v>兰亭</x:v>
      </x:c>
      <x:c r="D34" s="27" t="str">
        <x:f>IF('迁盟总表'!E34="","",'迁盟总表'!E34)</x:f>
        <x:v>玲珑→兰亭</x:v>
      </x:c>
      <x:c r="E34" s="40" t="n">
        <x:f>IF('迁盟总表'!Q34="","",'迁盟总表'!Q34)</x:f>
        <x:v>2022142936</x:v>
      </x:c>
      <x:c r="F34" s="40" t="n">
        <x:f>IF('迁盟总表'!R34="","",'迁盟总表'!R34)</x:f>
        <x:v>98990313</x:v>
      </x:c>
      <x:c r="G34" s="40" t="n">
        <x:f>IF('迁盟总表'!S34="","",'迁盟总表'!S34)</x:f>
        <x:v>389110363</x:v>
      </x:c>
      <x:c r="H34" s="37" t="n">
        <x:f>IF('迁盟总表'!H34="","",'迁盟总表'!H34)</x:f>
        <x:v>28.8</x:v>
      </x:c>
      <x:c r="I34" s="37" t="n">
        <x:f>IF('迁盟总表'!I34="","",'迁盟总表'!I34)</x:f>
        <x:v>26.7</x:v>
      </x:c>
      <x:c r="J34" s="40" t="n">
        <x:f>IF('迁盟总表'!J34="","",'迁盟总表'!J34)</x:f>
        <x:v>770</x:v>
      </x:c>
      <x:c r="K34" s="40" t="n">
        <x:f>IF('迁盟总表'!K34="","",'迁盟总表'!K34)</x:f>
        <x:v>940</x:v>
      </x:c>
      <x:c r="L34" s="40" t="n">
        <x:f>IF('迁盟总表'!L34="","",'迁盟总表'!L34)</x:f>
        <x:v>643</x:v>
      </x:c>
      <x:c r="M34" s="40" t="n">
        <x:f>IF('迁盟总表'!M34="","",'迁盟总表'!M34)</x:f>
        <x:v>669</x:v>
      </x:c>
      <x:c r="N34" s="40" t="n">
        <x:f>IF('迁盟总表'!N34="","",'迁盟总表'!N34)</x:f>
        <x:v>670</x:v>
      </x:c>
      <x:c r="O34" s="40" t="n">
        <x:f>IF('迁盟总表'!O34="","",'迁盟总表'!O34)</x:f>
        <x:v>682</x:v>
      </x:c>
      <x:c r="P34" s="40" t="n">
        <x:f>IF('迁盟总表'!P34="","",'迁盟总表'!P34)</x:f>
        <x:v>4374</x:v>
      </x:c>
      <x:c r="Q34" s="43" t="n">
        <x:f>IF('迁盟总表'!X34="","",'迁盟总表'!X34)</x:f>
        <x:v>80.5</x:v>
      </x:c>
      <x:c r="R34" s="27" t="n">
        <x:f>IF('迁盟总表'!Y34="","",'迁盟总表'!Y34)</x:f>
        <x:v>37</x:v>
      </x:c>
      <x:c r="S34" s="55" t="str">
        <x:f>IF('迁盟总表'!Z34="","",'迁盟总表'!Z34)</x:f>
        <x:v>补强一盟：总功勋、实力、战力及六维综合靠前</x:v>
      </x:c>
    </x:row>
    <x:row r="35" ht="20" customHeight="1">
      <x:c r="A35" s="26" t="str">
        <x:f>IF('迁盟总表'!B35="","",'迁盟总表'!B35)</x:f>
        <x:v>千时焕</x:v>
      </x:c>
      <x:c r="B35" s="27" t="str">
        <x:f>IF('迁盟总表'!C35="","",'迁盟总表'!C35)</x:f>
        <x:v>兰亭</x:v>
      </x:c>
      <x:c r="C35" s="58" t="str">
        <x:f>IF('迁盟总表'!D35="","",'迁盟总表'!D35)</x:f>
        <x:v>兰亭</x:v>
      </x:c>
      <x:c r="D35" s="27" t="str">
        <x:f>IF('迁盟总表'!E35="","",'迁盟总表'!E35)</x:f>
        <x:v>留盟</x:v>
      </x:c>
      <x:c r="E35" s="40" t="n">
        <x:f>IF('迁盟总表'!Q35="","",'迁盟总表'!Q35)</x:f>
        <x:v>9408600420</x:v>
      </x:c>
      <x:c r="F35" s="40" t="n">
        <x:f>IF('迁盟总表'!R35="","",'迁盟总表'!R35)</x:f>
        <x:v>99565207</x:v>
      </x:c>
      <x:c r="G35" s="40" t="n">
        <x:f>IF('迁盟总表'!S35="","",'迁盟总表'!S35)</x:f>
        <x:v>231484807</x:v>
      </x:c>
      <x:c r="H35" s="37" t="n">
        <x:f>IF('迁盟总表'!H35="","",'迁盟总表'!H35)</x:f>
        <x:v>31.8</x:v>
      </x:c>
      <x:c r="I35" s="37" t="n">
        <x:f>IF('迁盟总表'!I35="","",'迁盟总表'!I35)</x:f>
        <x:v>24.6</x:v>
      </x:c>
      <x:c r="J35" s="40" t="n">
        <x:f>IF('迁盟总表'!J35="","",'迁盟总表'!J35)</x:f>
        <x:v>972</x:v>
      </x:c>
      <x:c r="K35" s="40" t="n">
        <x:f>IF('迁盟总表'!K35="","",'迁盟总表'!K35)</x:f>
        <x:v>1025</x:v>
      </x:c>
      <x:c r="L35" s="40" t="n">
        <x:f>IF('迁盟总表'!L35="","",'迁盟总表'!L35)</x:f>
        <x:v>738</x:v>
      </x:c>
      <x:c r="M35" s="40" t="n">
        <x:f>IF('迁盟总表'!M35="","",'迁盟总表'!M35)</x:f>
        <x:v>648</x:v>
      </x:c>
      <x:c r="N35" s="40" t="n">
        <x:f>IF('迁盟总表'!N35="","",'迁盟总表'!N35)</x:f>
        <x:v>862</x:v>
      </x:c>
      <x:c r="O35" s="40" t="n">
        <x:f>IF('迁盟总表'!O35="","",'迁盟总表'!O35)</x:f>
        <x:v>997</x:v>
      </x:c>
      <x:c r="P35" s="40" t="n">
        <x:f>IF('迁盟总表'!P35="","",'迁盟总表'!P35)</x:f>
        <x:v>5242</x:v>
      </x:c>
      <x:c r="Q35" s="43" t="n">
        <x:f>IF('迁盟总表'!X35="","",'迁盟总表'!X35)</x:f>
        <x:v>80</x:v>
      </x:c>
      <x:c r="R35" s="27" t="n">
        <x:f>IF('迁盟总表'!Y35="","",'迁盟总表'!Y35)</x:f>
        <x:v>38</x:v>
      </x:c>
      <x:c r="S35" s="55" t="str">
        <x:f>IF('迁盟总表'!Z35="","",'迁盟总表'!Z35)</x:f>
        <x:v>保留兰亭战斗骨干</x:v>
      </x:c>
    </x:row>
    <x:row r="36" ht="20" customHeight="1">
      <x:c r="A36" s="26" t="str">
        <x:f>IF('迁盟总表'!B36="","",'迁盟总表'!B36)</x:f>
        <x:v>爱哭鬼鬼</x:v>
      </x:c>
      <x:c r="B36" s="27" t="str">
        <x:f>IF('迁盟总表'!C36="","",'迁盟总表'!C36)</x:f>
        <x:v>燕云</x:v>
      </x:c>
      <x:c r="C36" s="58" t="str">
        <x:f>IF('迁盟总表'!D36="","",'迁盟总表'!D36)</x:f>
        <x:v>兰亭</x:v>
      </x:c>
      <x:c r="D36" s="27" t="str">
        <x:f>IF('迁盟总表'!E36="","",'迁盟总表'!E36)</x:f>
        <x:v>燕云→兰亭</x:v>
      </x:c>
      <x:c r="E36" s="40" t="n">
        <x:f>IF('迁盟总表'!Q36="","",'迁盟总表'!Q36)</x:f>
        <x:v>9076788698</x:v>
      </x:c>
      <x:c r="F36" s="40" t="n">
        <x:f>IF('迁盟总表'!R36="","",'迁盟总表'!R36)</x:f>
        <x:v>89149671</x:v>
      </x:c>
      <x:c r="G36" s="40" t="n">
        <x:f>IF('迁盟总表'!S36="","",'迁盟总表'!S36)</x:f>
        <x:v>366693391</x:v>
      </x:c>
      <x:c r="H36" s="37" t="n">
        <x:f>IF('迁盟总表'!H36="","",'迁盟总表'!H36)</x:f>
        <x:v>25.8</x:v>
      </x:c>
      <x:c r="I36" s="37" t="n">
        <x:f>IF('迁盟总表'!I36="","",'迁盟总表'!I36)</x:f>
        <x:v>25.8</x:v>
      </x:c>
      <x:c r="J36" s="40" t="n">
        <x:f>IF('迁盟总表'!J36="","",'迁盟总表'!J36)</x:f>
        <x:v>830</x:v>
      </x:c>
      <x:c r="K36" s="40" t="n">
        <x:f>IF('迁盟总表'!K36="","",'迁盟总表'!K36)</x:f>
        <x:v>1000</x:v>
      </x:c>
      <x:c r="L36" s="40" t="n">
        <x:f>IF('迁盟总表'!L36="","",'迁盟总表'!L36)</x:f>
        <x:v>603</x:v>
      </x:c>
      <x:c r="M36" s="40" t="n">
        <x:f>IF('迁盟总表'!M36="","",'迁盟总表'!M36)</x:f>
        <x:v>557</x:v>
      </x:c>
      <x:c r="N36" s="40" t="n">
        <x:f>IF('迁盟总表'!N36="","",'迁盟总表'!N36)</x:f>
        <x:v>691</x:v>
      </x:c>
      <x:c r="O36" s="40" t="n">
        <x:f>IF('迁盟总表'!O36="","",'迁盟总表'!O36)</x:f>
        <x:v>722</x:v>
      </x:c>
      <x:c r="P36" s="40" t="n">
        <x:f>IF('迁盟总表'!P36="","",'迁盟总表'!P36)</x:f>
        <x:v>4403</x:v>
      </x:c>
      <x:c r="Q36" s="43" t="n">
        <x:f>IF('迁盟总表'!X36="","",'迁盟总表'!X36)</x:f>
        <x:v>79.9</x:v>
      </x:c>
      <x:c r="R36" s="27" t="n">
        <x:f>IF('迁盟总表'!Y36="","",'迁盟总表'!Y36)</x:f>
        <x:v>39</x:v>
      </x:c>
      <x:c r="S36" s="55" t="str">
        <x:f>IF('迁盟总表'!Z36="","",'迁盟总表'!Z36)</x:f>
        <x:v>补强一盟：总功勋、实力、战力及六维综合靠前</x:v>
      </x:c>
    </x:row>
    <x:row r="37" ht="20" customHeight="1">
      <x:c r="A37" s="26" t="str">
        <x:f>IF('迁盟总表'!B37="","",'迁盟总表'!B37)</x:f>
        <x:v>哥哥请发财</x:v>
      </x:c>
      <x:c r="B37" s="27" t="str">
        <x:f>IF('迁盟总表'!C37="","",'迁盟总表'!C37)</x:f>
        <x:v>燕云</x:v>
      </x:c>
      <x:c r="C37" s="58" t="str">
        <x:f>IF('迁盟总表'!D37="","",'迁盟总表'!D37)</x:f>
        <x:v>兰亭</x:v>
      </x:c>
      <x:c r="D37" s="27" t="str">
        <x:f>IF('迁盟总表'!E37="","",'迁盟总表'!E37)</x:f>
        <x:v>燕云→兰亭</x:v>
      </x:c>
      <x:c r="E37" s="40" t="n">
        <x:f>IF('迁盟总表'!Q37="","",'迁盟总表'!Q37)</x:f>
        <x:v>5199556170</x:v>
      </x:c>
      <x:c r="F37" s="40" t="n">
        <x:f>IF('迁盟总表'!R37="","",'迁盟总表'!R37)</x:f>
        <x:v>98945076</x:v>
      </x:c>
      <x:c r="G37" s="40" t="n">
        <x:f>IF('迁盟总表'!S37="","",'迁盟总表'!S37)</x:f>
        <x:v>295615130</x:v>
      </x:c>
      <x:c r="H37" s="37" t="n">
        <x:f>IF('迁盟总表'!H37="","",'迁盟总表'!H37)</x:f>
        <x:v>28.8</x:v>
      </x:c>
      <x:c r="I37" s="37" t="n">
        <x:f>IF('迁盟总表'!I37="","",'迁盟总表'!I37)</x:f>
        <x:v>28.8</x:v>
      </x:c>
      <x:c r="J37" s="40" t="n">
        <x:f>IF('迁盟总表'!J37="","",'迁盟总表'!J37)</x:f>
        <x:v>854</x:v>
      </x:c>
      <x:c r="K37" s="40" t="n">
        <x:f>IF('迁盟总表'!K37="","",'迁盟总表'!K37)</x:f>
        <x:v>970</x:v>
      </x:c>
      <x:c r="L37" s="40" t="n">
        <x:f>IF('迁盟总表'!L37="","",'迁盟总表'!L37)</x:f>
        <x:v>676</x:v>
      </x:c>
      <x:c r="M37" s="40" t="n">
        <x:f>IF('迁盟总表'!M37="","",'迁盟总表'!M37)</x:f>
        <x:v>514</x:v>
      </x:c>
      <x:c r="N37" s="40" t="n">
        <x:f>IF('迁盟总表'!N37="","",'迁盟总表'!N37)</x:f>
        <x:v>859</x:v>
      </x:c>
      <x:c r="O37" s="40" t="n">
        <x:f>IF('迁盟总表'!O37="","",'迁盟总表'!O37)</x:f>
        <x:v>780</x:v>
      </x:c>
      <x:c r="P37" s="40" t="n">
        <x:f>IF('迁盟总表'!P37="","",'迁盟总表'!P37)</x:f>
        <x:v>4653</x:v>
      </x:c>
      <x:c r="Q37" s="43" t="n">
        <x:f>IF('迁盟总表'!X37="","",'迁盟总表'!X37)</x:f>
        <x:v>79.8</x:v>
      </x:c>
      <x:c r="R37" s="27" t="n">
        <x:f>IF('迁盟总表'!Y37="","",'迁盟总表'!Y37)</x:f>
        <x:v>40</x:v>
      </x:c>
      <x:c r="S37" s="55" t="str">
        <x:f>IF('迁盟总表'!Z37="","",'迁盟总表'!Z37)</x:f>
        <x:v>补强一盟：总功勋、实力、战力及六维综合靠前</x:v>
      </x:c>
    </x:row>
    <x:row r="38" ht="20" customHeight="1">
      <x:c r="A38" s="26" t="str">
        <x:f>IF('迁盟总表'!B38="","",'迁盟总表'!B38)</x:f>
        <x:v>笨牛儿</x:v>
      </x:c>
      <x:c r="B38" s="27" t="str">
        <x:f>IF('迁盟总表'!C38="","",'迁盟总表'!C38)</x:f>
        <x:v>玲珑</x:v>
      </x:c>
      <x:c r="C38" s="58" t="str">
        <x:f>IF('迁盟总表'!D38="","",'迁盟总表'!D38)</x:f>
        <x:v>兰亭</x:v>
      </x:c>
      <x:c r="D38" s="27" t="str">
        <x:f>IF('迁盟总表'!E38="","",'迁盟总表'!E38)</x:f>
        <x:v>玲珑→兰亭</x:v>
      </x:c>
      <x:c r="E38" s="40" t="n">
        <x:f>IF('迁盟总表'!Q38="","",'迁盟总表'!Q38)</x:f>
        <x:v>2224178508</x:v>
      </x:c>
      <x:c r="F38" s="40" t="n">
        <x:f>IF('迁盟总表'!R38="","",'迁盟总表'!R38)</x:f>
        <x:v>94122680</x:v>
      </x:c>
      <x:c r="G38" s="40" t="n">
        <x:f>IF('迁盟总表'!S38="","",'迁盟总表'!S38)</x:f>
        <x:v>397210703</x:v>
      </x:c>
      <x:c r="H38" s="37" t="n">
        <x:f>IF('迁盟总表'!H38="","",'迁盟总表'!H38)</x:f>
        <x:v>28.8</x:v>
      </x:c>
      <x:c r="I38" s="37" t="n">
        <x:f>IF('迁盟总表'!I38="","",'迁盟总表'!I38)</x:f>
        <x:v>28.8</x:v>
      </x:c>
      <x:c r="J38" s="40" t="n">
        <x:f>IF('迁盟总表'!J38="","",'迁盟总表'!J38)</x:f>
        <x:v>837</x:v>
      </x:c>
      <x:c r="K38" s="40" t="n">
        <x:f>IF('迁盟总表'!K38="","",'迁盟总表'!K38)</x:f>
        <x:v>900</x:v>
      </x:c>
      <x:c r="L38" s="40" t="n">
        <x:f>IF('迁盟总表'!L38="","",'迁盟总表'!L38)</x:f>
        <x:v>690</x:v>
      </x:c>
      <x:c r="M38" s="40" t="n">
        <x:f>IF('迁盟总表'!M38="","",'迁盟总表'!M38)</x:f>
        <x:v>520</x:v>
      </x:c>
      <x:c r="N38" s="40" t="n">
        <x:f>IF('迁盟总表'!N38="","",'迁盟总表'!N38)</x:f>
        <x:v>720</x:v>
      </x:c>
      <x:c r="O38" s="40" t="n">
        <x:f>IF('迁盟总表'!O38="","",'迁盟总表'!O38)</x:f>
        <x:v>780</x:v>
      </x:c>
      <x:c r="P38" s="40" t="n">
        <x:f>IF('迁盟总表'!P38="","",'迁盟总表'!P38)</x:f>
        <x:v>4447</x:v>
      </x:c>
      <x:c r="Q38" s="43" t="n">
        <x:f>IF('迁盟总表'!X38="","",'迁盟总表'!X38)</x:f>
        <x:v>79.7</x:v>
      </x:c>
      <x:c r="R38" s="27" t="n">
        <x:f>IF('迁盟总表'!Y38="","",'迁盟总表'!Y38)</x:f>
        <x:v>41</x:v>
      </x:c>
      <x:c r="S38" s="55" t="str">
        <x:f>IF('迁盟总表'!Z38="","",'迁盟总表'!Z38)</x:f>
        <x:v>补强一盟：总功勋、实力、战力及六维综合靠前</x:v>
      </x:c>
    </x:row>
    <x:row r="39" ht="20" customHeight="1">
      <x:c r="A39" s="26" t="str">
        <x:f>IF('迁盟总表'!B39="","",'迁盟总表'!B39)</x:f>
        <x:v>午夜玫瑰</x:v>
      </x:c>
      <x:c r="B39" s="27" t="str">
        <x:f>IF('迁盟总表'!C39="","",'迁盟总表'!C39)</x:f>
        <x:v>兰亭</x:v>
      </x:c>
      <x:c r="C39" s="58" t="str">
        <x:f>IF('迁盟总表'!D39="","",'迁盟总表'!D39)</x:f>
        <x:v>兰亭</x:v>
      </x:c>
      <x:c r="D39" s="27" t="str">
        <x:f>IF('迁盟总表'!E39="","",'迁盟总表'!E39)</x:f>
        <x:v>留盟</x:v>
      </x:c>
      <x:c r="E39" s="40" t="n">
        <x:f>IF('迁盟总表'!Q39="","",'迁盟总表'!Q39)</x:f>
        <x:v>3072229238</x:v>
      </x:c>
      <x:c r="F39" s="40" t="n">
        <x:f>IF('迁盟总表'!R39="","",'迁盟总表'!R39)</x:f>
        <x:v>98923124</x:v>
      </x:c>
      <x:c r="G39" s="40" t="n">
        <x:f>IF('迁盟总表'!S39="","",'迁盟总表'!S39)</x:f>
        <x:v>336875690</x:v>
      </x:c>
      <x:c r="H39" s="37" t="n">
        <x:f>IF('迁盟总表'!H39="","",'迁盟总表'!H39)</x:f>
        <x:v>24.22</x:v>
      </x:c>
      <x:c r="I39" s="37" t="n">
        <x:f>IF('迁盟总表'!I39="","",'迁盟总表'!I39)</x:f>
        <x:v>24.22</x:v>
      </x:c>
      <x:c r="J39" s="40" t="n">
        <x:f>IF('迁盟总表'!J39="","",'迁盟总表'!J39)</x:f>
        <x:v>724</x:v>
      </x:c>
      <x:c r="K39" s="40" t="n">
        <x:f>IF('迁盟总表'!K39="","",'迁盟总表'!K39)</x:f>
        <x:v>792</x:v>
      </x:c>
      <x:c r="L39" s="40" t="n">
        <x:f>IF('迁盟总表'!L39="","",'迁盟总表'!L39)</x:f>
        <x:v>638</x:v>
      </x:c>
      <x:c r="M39" s="40" t="n">
        <x:f>IF('迁盟总表'!M39="","",'迁盟总表'!M39)</x:f>
        <x:v>638</x:v>
      </x:c>
      <x:c r="N39" s="40" t="n">
        <x:f>IF('迁盟总表'!N39="","",'迁盟总表'!N39)</x:f>
        <x:v>717</x:v>
      </x:c>
      <x:c r="O39" s="40" t="n">
        <x:f>IF('迁盟总表'!O39="","",'迁盟总表'!O39)</x:f>
        <x:v>795</x:v>
      </x:c>
      <x:c r="P39" s="40" t="n">
        <x:f>IF('迁盟总表'!P39="","",'迁盟总表'!P39)</x:f>
        <x:v>4304</x:v>
      </x:c>
      <x:c r="Q39" s="43" t="n">
        <x:f>IF('迁盟总表'!X39="","",'迁盟总表'!X39)</x:f>
        <x:v>79.5</x:v>
      </x:c>
      <x:c r="R39" s="27" t="n">
        <x:f>IF('迁盟总表'!Y39="","",'迁盟总表'!Y39)</x:f>
        <x:v>42</x:v>
      </x:c>
      <x:c r="S39" s="55" t="str">
        <x:f>IF('迁盟总表'!Z39="","",'迁盟总表'!Z39)</x:f>
        <x:v>保留兰亭战斗骨干</x:v>
      </x:c>
    </x:row>
    <x:row r="40" ht="20" customHeight="1">
      <x:c r="A40" s="26" t="str">
        <x:f>IF('迁盟总表'!B40="","",'迁盟总表'!B40)</x:f>
        <x:v>治好了也留口水</x:v>
      </x:c>
      <x:c r="B40" s="27" t="str">
        <x:f>IF('迁盟总表'!C40="","",'迁盟总表'!C40)</x:f>
        <x:v>花晨</x:v>
      </x:c>
      <x:c r="C40" s="58" t="str">
        <x:f>IF('迁盟总表'!D40="","",'迁盟总表'!D40)</x:f>
        <x:v>兰亭</x:v>
      </x:c>
      <x:c r="D40" s="27" t="str">
        <x:f>IF('迁盟总表'!E40="","",'迁盟总表'!E40)</x:f>
        <x:v>花晨→兰亭</x:v>
      </x:c>
      <x:c r="E40" s="40" t="n">
        <x:f>IF('迁盟总表'!Q40="","",'迁盟总表'!Q40)</x:f>
        <x:v>5615681970</x:v>
      </x:c>
      <x:c r="F40" s="40" t="n">
        <x:f>IF('迁盟总表'!R40="","",'迁盟总表'!R40)</x:f>
        <x:v>102007771</x:v>
      </x:c>
      <x:c r="G40" s="40" t="n">
        <x:f>IF('迁盟总表'!S40="","",'迁盟总表'!S40)</x:f>
        <x:v>226369917</x:v>
      </x:c>
      <x:c r="H40" s="37" t="n">
        <x:f>IF('迁盟总表'!H40="","",'迁盟总表'!H40)</x:f>
        <x:v>24.9</x:v>
      </x:c>
      <x:c r="I40" s="37" t="n">
        <x:f>IF('迁盟总表'!I40="","",'迁盟总表'!I40)</x:f>
        <x:v>22.7</x:v>
      </x:c>
      <x:c r="J40" s="40" t="n">
        <x:f>IF('迁盟总表'!J40="","",'迁盟总表'!J40)</x:f>
        <x:v>760</x:v>
      </x:c>
      <x:c r="K40" s="40" t="n">
        <x:f>IF('迁盟总表'!K40="","",'迁盟总表'!K40)</x:f>
        <x:v>1040</x:v>
      </x:c>
      <x:c r="L40" s="40" t="n">
        <x:f>IF('迁盟总表'!L40="","",'迁盟总表'!L40)</x:f>
        <x:v>710</x:v>
      </x:c>
      <x:c r="M40" s="40" t="n">
        <x:f>IF('迁盟总表'!M40="","",'迁盟总表'!M40)</x:f>
        <x:v>660</x:v>
      </x:c>
      <x:c r="N40" s="40" t="n">
        <x:f>IF('迁盟总表'!N40="","",'迁盟总表'!N40)</x:f>
        <x:v>690</x:v>
      </x:c>
      <x:c r="O40" s="40" t="n">
        <x:f>IF('迁盟总表'!O40="","",'迁盟总表'!O40)</x:f>
        <x:v>961</x:v>
      </x:c>
      <x:c r="P40" s="40" t="n">
        <x:f>IF('迁盟总表'!P40="","",'迁盟总表'!P40)</x:f>
        <x:v>4821</x:v>
      </x:c>
      <x:c r="Q40" s="43" t="n">
        <x:f>IF('迁盟总表'!X40="","",'迁盟总表'!X40)</x:f>
        <x:v>78.9</x:v>
      </x:c>
      <x:c r="R40" s="27" t="n">
        <x:f>IF('迁盟总表'!Y40="","",'迁盟总表'!Y40)</x:f>
        <x:v>44</x:v>
      </x:c>
      <x:c r="S40" s="55" t="str">
        <x:f>IF('迁盟总表'!Z40="","",'迁盟总表'!Z40)</x:f>
        <x:v>补强一盟：总功勋、实力、战力及六维综合靠前</x:v>
      </x:c>
    </x:row>
    <x:row r="41" ht="20" customHeight="1">
      <x:c r="A41" s="26" t="str">
        <x:f>IF('迁盟总表'!B41="","",'迁盟总表'!B41)</x:f>
        <x:v>中秋嘉捷</x:v>
      </x:c>
      <x:c r="B41" s="27" t="str">
        <x:f>IF('迁盟总表'!C41="","",'迁盟总表'!C41)</x:f>
        <x:v>兰亭</x:v>
      </x:c>
      <x:c r="C41" s="58" t="str">
        <x:f>IF('迁盟总表'!D41="","",'迁盟总表'!D41)</x:f>
        <x:v>兰亭</x:v>
      </x:c>
      <x:c r="D41" s="27" t="str">
        <x:f>IF('迁盟总表'!E41="","",'迁盟总表'!E41)</x:f>
        <x:v>留盟</x:v>
      </x:c>
      <x:c r="E41" s="40" t="n">
        <x:f>IF('迁盟总表'!Q41="","",'迁盟总表'!Q41)</x:f>
        <x:v>3682412709</x:v>
      </x:c>
      <x:c r="F41" s="40" t="n">
        <x:f>IF('迁盟总表'!R41="","",'迁盟总表'!R41)</x:f>
        <x:v>96271643</x:v>
      </x:c>
      <x:c r="G41" s="40" t="n">
        <x:f>IF('迁盟总表'!S41="","",'迁盟总表'!S41)</x:f>
        <x:v>301955388</x:v>
      </x:c>
      <x:c r="H41" s="37" t="n">
        <x:f>IF('迁盟总表'!H41="","",'迁盟总表'!H41)</x:f>
        <x:v>28.1</x:v>
      </x:c>
      <x:c r="I41" s="37" t="n">
        <x:f>IF('迁盟总表'!I41="","",'迁盟总表'!I41)</x:f>
        <x:v>22.5</x:v>
      </x:c>
      <x:c r="J41" s="40" t="n">
        <x:f>IF('迁盟总表'!J41="","",'迁盟总表'!J41)</x:f>
        <x:v>835</x:v>
      </x:c>
      <x:c r="K41" s="40" t="n">
        <x:f>IF('迁盟总表'!K41="","",'迁盟总表'!K41)</x:f>
        <x:v>969</x:v>
      </x:c>
      <x:c r="L41" s="40" t="n">
        <x:f>IF('迁盟总表'!L41="","",'迁盟总表'!L41)</x:f>
        <x:v>679</x:v>
      </x:c>
      <x:c r="M41" s="40" t="n">
        <x:f>IF('迁盟总表'!M41="","",'迁盟总表'!M41)</x:f>
        <x:v>655</x:v>
      </x:c>
      <x:c r="N41" s="40" t="n">
        <x:f>IF('迁盟总表'!N41="","",'迁盟总表'!N41)</x:f>
        <x:v>731</x:v>
      </x:c>
      <x:c r="O41" s="40" t="n">
        <x:f>IF('迁盟总表'!O41="","",'迁盟总表'!O41)</x:f>
        <x:v>882</x:v>
      </x:c>
      <x:c r="P41" s="40" t="n">
        <x:f>IF('迁盟总表'!P41="","",'迁盟总表'!P41)</x:f>
        <x:v>4751</x:v>
      </x:c>
      <x:c r="Q41" s="43" t="n">
        <x:f>IF('迁盟总表'!X41="","",'迁盟总表'!X41)</x:f>
        <x:v>78.8</x:v>
      </x:c>
      <x:c r="R41" s="27" t="n">
        <x:f>IF('迁盟总表'!Y41="","",'迁盟总表'!Y41)</x:f>
        <x:v>45</x:v>
      </x:c>
      <x:c r="S41" s="55" t="str">
        <x:f>IF('迁盟总表'!Z41="","",'迁盟总表'!Z41)</x:f>
        <x:v>保留兰亭战斗骨干</x:v>
      </x:c>
    </x:row>
    <x:row r="42" ht="20" customHeight="1">
      <x:c r="A42" s="26" t="str">
        <x:f>IF('迁盟总表'!B42="","",'迁盟总表'!B42)</x:f>
        <x:v>灬人间灬</x:v>
      </x:c>
      <x:c r="B42" s="27" t="str">
        <x:f>IF('迁盟总表'!C42="","",'迁盟总表'!C42)</x:f>
        <x:v>兰亭</x:v>
      </x:c>
      <x:c r="C42" s="58" t="str">
        <x:f>IF('迁盟总表'!D42="","",'迁盟总表'!D42)</x:f>
        <x:v>兰亭</x:v>
      </x:c>
      <x:c r="D42" s="27" t="str">
        <x:f>IF('迁盟总表'!E42="","",'迁盟总表'!E42)</x:f>
        <x:v>留盟</x:v>
      </x:c>
      <x:c r="E42" s="40" t="n">
        <x:f>IF('迁盟总表'!Q42="","",'迁盟总表'!Q42)</x:f>
        <x:v>5059500204</x:v>
      </x:c>
      <x:c r="F42" s="40" t="n">
        <x:f>IF('迁盟总表'!R42="","",'迁盟总表'!R42)</x:f>
        <x:v>86710379</x:v>
      </x:c>
      <x:c r="G42" s="40" t="n">
        <x:f>IF('迁盟总表'!S42="","",'迁盟总表'!S42)</x:f>
        <x:v>344933008</x:v>
      </x:c>
      <x:c r="H42" s="37" t="str">
        <x:f>IF('迁盟总表'!H42="","",'迁盟总表'!H42)</x:f>
      </x:c>
      <x:c r="I42" s="37" t="str">
        <x:f>IF('迁盟总表'!I42="","",'迁盟总表'!I42)</x:f>
      </x:c>
      <x:c r="J42" s="40" t="str">
        <x:f>IF('迁盟总表'!J42="","",'迁盟总表'!J42)</x:f>
      </x:c>
      <x:c r="K42" s="40" t="str">
        <x:f>IF('迁盟总表'!K42="","",'迁盟总表'!K42)</x:f>
      </x:c>
      <x:c r="L42" s="40" t="str">
        <x:f>IF('迁盟总表'!L42="","",'迁盟总表'!L42)</x:f>
      </x:c>
      <x:c r="M42" s="40" t="str">
        <x:f>IF('迁盟总表'!M42="","",'迁盟总表'!M42)</x:f>
      </x:c>
      <x:c r="N42" s="40" t="str">
        <x:f>IF('迁盟总表'!N42="","",'迁盟总表'!N42)</x:f>
      </x:c>
      <x:c r="O42" s="40" t="str">
        <x:f>IF('迁盟总表'!O42="","",'迁盟总表'!O42)</x:f>
      </x:c>
      <x:c r="P42" s="40" t="str">
        <x:f>IF('迁盟总表'!P42="","",'迁盟总表'!P42)</x:f>
      </x:c>
      <x:c r="Q42" s="43" t="n">
        <x:f>IF('迁盟总表'!X42="","",'迁盟总表'!X42)</x:f>
        <x:v>78.6</x:v>
      </x:c>
      <x:c r="R42" s="27" t="n">
        <x:f>IF('迁盟总表'!Y42="","",'迁盟总表'!Y42)</x:f>
        <x:v>49</x:v>
      </x:c>
      <x:c r="S42" s="55" t="str">
        <x:f>IF('迁盟总表'!Z42="","",'迁盟总表'!Z42)</x:f>
        <x:v>保留兰亭战斗骨干</x:v>
      </x:c>
    </x:row>
    <x:row r="43" ht="20" customHeight="1">
      <x:c r="A43" s="26" t="str">
        <x:f>IF('迁盟总表'!B43="","",'迁盟总表'!B43)</x:f>
        <x:v>萍果唐</x:v>
      </x:c>
      <x:c r="B43" s="27" t="str">
        <x:f>IF('迁盟总表'!C43="","",'迁盟总表'!C43)</x:f>
        <x:v>兰亭</x:v>
      </x:c>
      <x:c r="C43" s="58" t="str">
        <x:f>IF('迁盟总表'!D43="","",'迁盟总表'!D43)</x:f>
        <x:v>兰亭</x:v>
      </x:c>
      <x:c r="D43" s="27" t="str">
        <x:f>IF('迁盟总表'!E43="","",'迁盟总表'!E43)</x:f>
        <x:v>留盟</x:v>
      </x:c>
      <x:c r="E43" s="40" t="n">
        <x:f>IF('迁盟总表'!Q43="","",'迁盟总表'!Q43)</x:f>
        <x:v>3048536482</x:v>
      </x:c>
      <x:c r="F43" s="40" t="n">
        <x:f>IF('迁盟总表'!R43="","",'迁盟总表'!R43)</x:f>
        <x:v>94215775</x:v>
      </x:c>
      <x:c r="G43" s="40" t="n">
        <x:f>IF('迁盟总表'!S43="","",'迁盟总表'!S43)</x:f>
        <x:v>314348302</x:v>
      </x:c>
      <x:c r="H43" s="37" t="str">
        <x:f>IF('迁盟总表'!H43="","",'迁盟总表'!H43)</x:f>
      </x:c>
      <x:c r="I43" s="37" t="n">
        <x:f>IF('迁盟总表'!I43="","",'迁盟总表'!I43)</x:f>
        <x:v>28.8</x:v>
      </x:c>
      <x:c r="J43" s="40" t="n">
        <x:f>IF('迁盟总表'!J43="","",'迁盟总表'!J43)</x:f>
        <x:v>767</x:v>
      </x:c>
      <x:c r="K43" s="40" t="n">
        <x:f>IF('迁盟总表'!K43="","",'迁盟总表'!K43)</x:f>
        <x:v>925</x:v>
      </x:c>
      <x:c r="L43" s="40" t="n">
        <x:f>IF('迁盟总表'!L43="","",'迁盟总表'!L43)</x:f>
        <x:v>688</x:v>
      </x:c>
      <x:c r="M43" s="40" t="n">
        <x:f>IF('迁盟总表'!M43="","",'迁盟总表'!M43)</x:f>
        <x:v>573</x:v>
      </x:c>
      <x:c r="N43" s="40" t="n">
        <x:f>IF('迁盟总表'!N43="","",'迁盟总表'!N43)</x:f>
        <x:v>745</x:v>
      </x:c>
      <x:c r="O43" s="40" t="n">
        <x:f>IF('迁盟总表'!O43="","",'迁盟总表'!O43)</x:f>
        <x:v>963</x:v>
      </x:c>
      <x:c r="P43" s="40" t="n">
        <x:f>IF('迁盟总表'!P43="","",'迁盟总表'!P43)</x:f>
        <x:v>4661</x:v>
      </x:c>
      <x:c r="Q43" s="43" t="n">
        <x:f>IF('迁盟总表'!X43="","",'迁盟总表'!X43)</x:f>
        <x:v>78.2</x:v>
      </x:c>
      <x:c r="R43" s="27" t="n">
        <x:f>IF('迁盟总表'!Y43="","",'迁盟总表'!Y43)</x:f>
        <x:v>56</x:v>
      </x:c>
      <x:c r="S43" s="55" t="str">
        <x:f>IF('迁盟总表'!Z43="","",'迁盟总表'!Z43)</x:f>
        <x:v>保留兰亭战斗骨干</x:v>
      </x:c>
    </x:row>
    <x:row r="44" ht="20" customHeight="1">
      <x:c r="A44" s="26" t="str">
        <x:f>IF('迁盟总表'!B44="","",'迁盟总表'!B44)</x:f>
        <x:v>叫什么名字呢</x:v>
      </x:c>
      <x:c r="B44" s="27" t="str">
        <x:f>IF('迁盟总表'!C44="","",'迁盟总表'!C44)</x:f>
        <x:v>兰亭</x:v>
      </x:c>
      <x:c r="C44" s="58" t="str">
        <x:f>IF('迁盟总表'!D44="","",'迁盟总表'!D44)</x:f>
        <x:v>兰亭</x:v>
      </x:c>
      <x:c r="D44" s="27" t="str">
        <x:f>IF('迁盟总表'!E44="","",'迁盟总表'!E44)</x:f>
        <x:v>留盟</x:v>
      </x:c>
      <x:c r="E44" s="40" t="n">
        <x:f>IF('迁盟总表'!Q44="","",'迁盟总表'!Q44)</x:f>
        <x:v>4427346768</x:v>
      </x:c>
      <x:c r="F44" s="40" t="n">
        <x:f>IF('迁盟总表'!R44="","",'迁盟总表'!R44)</x:f>
        <x:v>90780169</x:v>
      </x:c>
      <x:c r="G44" s="40" t="n">
        <x:f>IF('迁盟总表'!S44="","",'迁盟总表'!S44)</x:f>
        <x:v>262309531</x:v>
      </x:c>
      <x:c r="H44" s="37" t="str">
        <x:f>IF('迁盟总表'!H44="","",'迁盟总表'!H44)</x:f>
      </x:c>
      <x:c r="I44" s="37" t="str">
        <x:f>IF('迁盟总表'!I44="","",'迁盟总表'!I44)</x:f>
      </x:c>
      <x:c r="J44" s="40" t="str">
        <x:f>IF('迁盟总表'!J44="","",'迁盟总表'!J44)</x:f>
      </x:c>
      <x:c r="K44" s="40" t="str">
        <x:f>IF('迁盟总表'!K44="","",'迁盟总表'!K44)</x:f>
      </x:c>
      <x:c r="L44" s="40" t="str">
        <x:f>IF('迁盟总表'!L44="","",'迁盟总表'!L44)</x:f>
      </x:c>
      <x:c r="M44" s="40" t="str">
        <x:f>IF('迁盟总表'!M44="","",'迁盟总表'!M44)</x:f>
      </x:c>
      <x:c r="N44" s="40" t="str">
        <x:f>IF('迁盟总表'!N44="","",'迁盟总表'!N44)</x:f>
      </x:c>
      <x:c r="O44" s="40" t="str">
        <x:f>IF('迁盟总表'!O44="","",'迁盟总表'!O44)</x:f>
      </x:c>
      <x:c r="P44" s="40" t="str">
        <x:f>IF('迁盟总表'!P44="","",'迁盟总表'!P44)</x:f>
      </x:c>
      <x:c r="Q44" s="43" t="n">
        <x:f>IF('迁盟总表'!X44="","",'迁盟总表'!X44)</x:f>
        <x:v>76.8</x:v>
      </x:c>
      <x:c r="R44" s="27" t="n">
        <x:f>IF('迁盟总表'!Y44="","",'迁盟总表'!Y44)</x:f>
        <x:v>68</x:v>
      </x:c>
      <x:c r="S44" s="55" t="str">
        <x:f>IF('迁盟总表'!Z44="","",'迁盟总表'!Z44)</x:f>
        <x:v>保留兰亭战斗骨干</x:v>
      </x:c>
    </x:row>
    <x:row r="45" ht="20" customHeight="1">
      <x:c r="A45" s="26" t="str">
        <x:f>IF('迁盟总表'!B45="","",'迁盟总表'!B45)</x:f>
        <x:v>夜轻尘</x:v>
      </x:c>
      <x:c r="B45" s="27" t="str">
        <x:f>IF('迁盟总表'!C45="","",'迁盟总表'!C45)</x:f>
        <x:v>兰亭</x:v>
      </x:c>
      <x:c r="C45" s="58" t="str">
        <x:f>IF('迁盟总表'!D45="","",'迁盟总表'!D45)</x:f>
        <x:v>兰亭</x:v>
      </x:c>
      <x:c r="D45" s="27" t="str">
        <x:f>IF('迁盟总表'!E45="","",'迁盟总表'!E45)</x:f>
        <x:v>留盟</x:v>
      </x:c>
      <x:c r="E45" s="40" t="n">
        <x:f>IF('迁盟总表'!Q45="","",'迁盟总表'!Q45)</x:f>
        <x:v>2228559476</x:v>
      </x:c>
      <x:c r="F45" s="40" t="n">
        <x:f>IF('迁盟总表'!R45="","",'迁盟总表'!R45)</x:f>
        <x:v>92955964</x:v>
      </x:c>
      <x:c r="G45" s="40" t="n">
        <x:f>IF('迁盟总表'!S45="","",'迁盟总表'!S45)</x:f>
        <x:v>278210085</x:v>
      </x:c>
      <x:c r="H45" s="37" t="n">
        <x:f>IF('迁盟总表'!H45="","",'迁盟总表'!H45)</x:f>
        <x:v>26.4</x:v>
      </x:c>
      <x:c r="I45" s="37" t="n">
        <x:f>IF('迁盟总表'!I45="","",'迁盟总表'!I45)</x:f>
        <x:v>22.8</x:v>
      </x:c>
      <x:c r="J45" s="40" t="n">
        <x:f>IF('迁盟总表'!J45="","",'迁盟总表'!J45)</x:f>
        <x:v>819</x:v>
      </x:c>
      <x:c r="K45" s="40" t="n">
        <x:f>IF('迁盟总表'!K45="","",'迁盟总表'!K45)</x:f>
        <x:v>980</x:v>
      </x:c>
      <x:c r="L45" s="40" t="n">
        <x:f>IF('迁盟总表'!L45="","",'迁盟总表'!L45)</x:f>
        <x:v>720</x:v>
      </x:c>
      <x:c r="M45" s="40" t="n">
        <x:f>IF('迁盟总表'!M45="","",'迁盟总表'!M45)</x:f>
        <x:v>680</x:v>
      </x:c>
      <x:c r="N45" s="40" t="n">
        <x:f>IF('迁盟总表'!N45="","",'迁盟总表'!N45)</x:f>
        <x:v>746</x:v>
      </x:c>
      <x:c r="O45" s="40" t="n">
        <x:f>IF('迁盟总表'!O45="","",'迁盟总表'!O45)</x:f>
        <x:v>760</x:v>
      </x:c>
      <x:c r="P45" s="40" t="n">
        <x:f>IF('迁盟总表'!P45="","",'迁盟总表'!P45)</x:f>
        <x:v>4705</x:v>
      </x:c>
      <x:c r="Q45" s="43" t="n">
        <x:f>IF('迁盟总表'!X45="","",'迁盟总表'!X45)</x:f>
        <x:v>76.3</x:v>
      </x:c>
      <x:c r="R45" s="27" t="n">
        <x:f>IF('迁盟总表'!Y45="","",'迁盟总表'!Y45)</x:f>
        <x:v>79</x:v>
      </x:c>
      <x:c r="S45" s="55" t="str">
        <x:f>IF('迁盟总表'!Z45="","",'迁盟总表'!Z45)</x:f>
        <x:v>保留兰亭战斗骨干</x:v>
      </x:c>
    </x:row>
    <x:row r="46" ht="20" customHeight="1">
      <x:c r="A46" s="26" t="str">
        <x:f>IF('迁盟总表'!B46="","",'迁盟总表'!B46)</x:f>
        <x:v>香香公主59</x:v>
      </x:c>
      <x:c r="B46" s="27" t="str">
        <x:f>IF('迁盟总表'!C46="","",'迁盟总表'!C46)</x:f>
        <x:v>兰亭</x:v>
      </x:c>
      <x:c r="C46" s="58" t="str">
        <x:f>IF('迁盟总表'!D46="","",'迁盟总表'!D46)</x:f>
        <x:v>兰亭</x:v>
      </x:c>
      <x:c r="D46" s="27" t="str">
        <x:f>IF('迁盟总表'!E46="","",'迁盟总表'!E46)</x:f>
        <x:v>留盟</x:v>
      </x:c>
      <x:c r="E46" s="40" t="n">
        <x:f>IF('迁盟总表'!Q46="","",'迁盟总表'!Q46)</x:f>
        <x:v>4820060305</x:v>
      </x:c>
      <x:c r="F46" s="40" t="n">
        <x:f>IF('迁盟总表'!R46="","",'迁盟总表'!R46)</x:f>
        <x:v>92206945</x:v>
      </x:c>
      <x:c r="G46" s="40" t="n">
        <x:f>IF('迁盟总表'!S46="","",'迁盟总表'!S46)</x:f>
        <x:v>251054647</x:v>
      </x:c>
      <x:c r="H46" s="37" t="n">
        <x:f>IF('迁盟总表'!H46="","",'迁盟总表'!H46)</x:f>
        <x:v>28.8</x:v>
      </x:c>
      <x:c r="I46" s="37" t="n">
        <x:f>IF('迁盟总表'!I46="","",'迁盟总表'!I46)</x:f>
        <x:v>28.8</x:v>
      </x:c>
      <x:c r="J46" s="40" t="n">
        <x:f>IF('迁盟总表'!J46="","",'迁盟总表'!J46)</x:f>
        <x:v>789</x:v>
      </x:c>
      <x:c r="K46" s="40" t="n">
        <x:f>IF('迁盟总表'!K46="","",'迁盟总表'!K46)</x:f>
        <x:v>839</x:v>
      </x:c>
      <x:c r="L46" s="40" t="n">
        <x:f>IF('迁盟总表'!L46="","",'迁盟总表'!L46)</x:f>
        <x:v>645</x:v>
      </x:c>
      <x:c r="M46" s="40" t="n">
        <x:f>IF('迁盟总表'!M46="","",'迁盟总表'!M46)</x:f>
        <x:v>441</x:v>
      </x:c>
      <x:c r="N46" s="40" t="n">
        <x:f>IF('迁盟总表'!N46="","",'迁盟总表'!N46)</x:f>
        <x:v>715</x:v>
      </x:c>
      <x:c r="O46" s="40" t="n">
        <x:f>IF('迁盟总表'!O46="","",'迁盟总表'!O46)</x:f>
        <x:v>761</x:v>
      </x:c>
      <x:c r="P46" s="40" t="n">
        <x:f>IF('迁盟总表'!P46="","",'迁盟总表'!P46)</x:f>
        <x:v>4190</x:v>
      </x:c>
      <x:c r="Q46" s="43" t="n">
        <x:f>IF('迁盟总表'!X46="","",'迁盟总表'!X46)</x:f>
        <x:v>75.9</x:v>
      </x:c>
      <x:c r="R46" s="27" t="n">
        <x:f>IF('迁盟总表'!Y46="","",'迁盟总表'!Y46)</x:f>
        <x:v>86</x:v>
      </x:c>
      <x:c r="S46" s="55" t="str">
        <x:f>IF('迁盟总表'!Z46="","",'迁盟总表'!Z46)</x:f>
        <x:v>保留兰亭战斗骨干</x:v>
      </x:c>
    </x:row>
    <x:row r="47" ht="20" customHeight="1">
      <x:c r="A47" s="26" t="str">
        <x:f>IF('迁盟总表'!B47="","",'迁盟总表'!B47)</x:f>
        <x:v>云台海阁</x:v>
      </x:c>
      <x:c r="B47" s="27" t="str">
        <x:f>IF('迁盟总表'!C47="","",'迁盟总表'!C47)</x:f>
        <x:v>兰亭</x:v>
      </x:c>
      <x:c r="C47" s="58" t="str">
        <x:f>IF('迁盟总表'!D47="","",'迁盟总表'!D47)</x:f>
        <x:v>兰亭</x:v>
      </x:c>
      <x:c r="D47" s="27" t="str">
        <x:f>IF('迁盟总表'!E47="","",'迁盟总表'!E47)</x:f>
        <x:v>留盟</x:v>
      </x:c>
      <x:c r="E47" s="40" t="n">
        <x:f>IF('迁盟总表'!Q47="","",'迁盟总表'!Q47)</x:f>
        <x:v>4500768304</x:v>
      </x:c>
      <x:c r="F47" s="40" t="n">
        <x:f>IF('迁盟总表'!R47="","",'迁盟总表'!R47)</x:f>
        <x:v>89634865</x:v>
      </x:c>
      <x:c r="G47" s="40" t="n">
        <x:f>IF('迁盟总表'!S47="","",'迁盟总表'!S47)</x:f>
        <x:v>252525939</x:v>
      </x:c>
      <x:c r="H47" s="37" t="n">
        <x:f>IF('迁盟总表'!H47="","",'迁盟总表'!H47)</x:f>
        <x:v>28.3</x:v>
      </x:c>
      <x:c r="I47" s="37" t="n">
        <x:f>IF('迁盟总表'!I47="","",'迁盟总表'!I47)</x:f>
        <x:v>28.3</x:v>
      </x:c>
      <x:c r="J47" s="40" t="n">
        <x:f>IF('迁盟总表'!J47="","",'迁盟总表'!J47)</x:f>
        <x:v>795</x:v>
      </x:c>
      <x:c r="K47" s="40" t="n">
        <x:f>IF('迁盟总表'!K47="","",'迁盟总表'!K47)</x:f>
        <x:v>895</x:v>
      </x:c>
      <x:c r="L47" s="40" t="n">
        <x:f>IF('迁盟总表'!L47="","",'迁盟总表'!L47)</x:f>
        <x:v>683</x:v>
      </x:c>
      <x:c r="M47" s="40" t="n">
        <x:f>IF('迁盟总表'!M47="","",'迁盟总表'!M47)</x:f>
        <x:v>650</x:v>
      </x:c>
      <x:c r="N47" s="40" t="n">
        <x:f>IF('迁盟总表'!N47="","",'迁盟总表'!N47)</x:f>
        <x:v>712</x:v>
      </x:c>
      <x:c r="O47" s="40" t="n">
        <x:f>IF('迁盟总表'!O47="","",'迁盟总表'!O47)</x:f>
        <x:v>777</x:v>
      </x:c>
      <x:c r="P47" s="40" t="n">
        <x:f>IF('迁盟总表'!P47="","",'迁盟总表'!P47)</x:f>
        <x:v>4512</x:v>
      </x:c>
      <x:c r="Q47" s="43" t="n">
        <x:f>IF('迁盟总表'!X47="","",'迁盟总表'!X47)</x:f>
        <x:v>75.6</x:v>
      </x:c>
      <x:c r="R47" s="27" t="n">
        <x:f>IF('迁盟总表'!Y47="","",'迁盟总表'!Y47)</x:f>
        <x:v>97</x:v>
      </x:c>
      <x:c r="S47" s="55" t="str">
        <x:f>IF('迁盟总表'!Z47="","",'迁盟总表'!Z47)</x:f>
        <x:v>保留兰亭战斗骨干</x:v>
      </x:c>
    </x:row>
    <x:row r="48" ht="20" customHeight="1">
      <x:c r="A48" s="26" t="str">
        <x:f>IF('迁盟总表'!B48="","",'迁盟总表'!B48)</x:f>
        <x:v>今夜无事勾栏听曲</x:v>
      </x:c>
      <x:c r="B48" s="27" t="str">
        <x:f>IF('迁盟总表'!C48="","",'迁盟总表'!C48)</x:f>
        <x:v>兰亭</x:v>
      </x:c>
      <x:c r="C48" s="58" t="str">
        <x:f>IF('迁盟总表'!D48="","",'迁盟总表'!D48)</x:f>
        <x:v>兰亭</x:v>
      </x:c>
      <x:c r="D48" s="27" t="str">
        <x:f>IF('迁盟总表'!E48="","",'迁盟总表'!E48)</x:f>
        <x:v>留盟</x:v>
      </x:c>
      <x:c r="E48" s="40" t="n">
        <x:f>IF('迁盟总表'!Q48="","",'迁盟总表'!Q48)</x:f>
        <x:v>4338833469</x:v>
      </x:c>
      <x:c r="F48" s="40" t="n">
        <x:f>IF('迁盟总表'!R48="","",'迁盟总表'!R48)</x:f>
        <x:v>87182456</x:v>
      </x:c>
      <x:c r="G48" s="40" t="n">
        <x:f>IF('迁盟总表'!S48="","",'迁盟总表'!S48)</x:f>
        <x:v>278325337</x:v>
      </x:c>
      <x:c r="H48" s="37" t="n">
        <x:f>IF('迁盟总表'!H48="","",'迁盟总表'!H48)</x:f>
        <x:v>28.2</x:v>
      </x:c>
      <x:c r="I48" s="37" t="n">
        <x:f>IF('迁盟总表'!I48="","",'迁盟总表'!I48)</x:f>
        <x:v>28.2</x:v>
      </x:c>
      <x:c r="J48" s="40" t="n">
        <x:f>IF('迁盟总表'!J48="","",'迁盟总表'!J48)</x:f>
        <x:v>799</x:v>
      </x:c>
      <x:c r="K48" s="40" t="n">
        <x:f>IF('迁盟总表'!K48="","",'迁盟总表'!K48)</x:f>
        <x:v>824</x:v>
      </x:c>
      <x:c r="L48" s="40" t="n">
        <x:f>IF('迁盟总表'!L48="","",'迁盟总表'!L48)</x:f>
        <x:v>690</x:v>
      </x:c>
      <x:c r="M48" s="40" t="n">
        <x:f>IF('迁盟总表'!M48="","",'迁盟总表'!M48)</x:f>
        <x:v>614</x:v>
      </x:c>
      <x:c r="N48" s="40" t="n">
        <x:f>IF('迁盟总表'!N48="","",'迁盟总表'!N48)</x:f>
        <x:v>722</x:v>
      </x:c>
      <x:c r="O48" s="40" t="n">
        <x:f>IF('迁盟总表'!O48="","",'迁盟总表'!O48)</x:f>
        <x:v>734</x:v>
      </x:c>
      <x:c r="P48" s="40" t="n">
        <x:f>IF('迁盟总表'!P48="","",'迁盟总表'!P48)</x:f>
        <x:v>4383</x:v>
      </x:c>
      <x:c r="Q48" s="43" t="n">
        <x:f>IF('迁盟总表'!X48="","",'迁盟总表'!X48)</x:f>
        <x:v>75.5</x:v>
      </x:c>
      <x:c r="R48" s="27" t="n">
        <x:f>IF('迁盟总表'!Y48="","",'迁盟总表'!Y48)</x:f>
        <x:v>100</x:v>
      </x:c>
      <x:c r="S48" s="55" t="str">
        <x:f>IF('迁盟总表'!Z48="","",'迁盟总表'!Z48)</x:f>
        <x:v>保留兰亭战斗骨干</x:v>
      </x:c>
    </x:row>
    <x:row r="49" ht="20" customHeight="1">
      <x:c r="A49" s="26" t="str">
        <x:f>IF('迁盟总表'!B49="","",'迁盟总表'!B49)</x:f>
        <x:v>珍宝阁</x:v>
      </x:c>
      <x:c r="B49" s="27" t="str">
        <x:f>IF('迁盟总表'!C49="","",'迁盟总表'!C49)</x:f>
        <x:v>兰亭</x:v>
      </x:c>
      <x:c r="C49" s="58" t="str">
        <x:f>IF('迁盟总表'!D49="","",'迁盟总表'!D49)</x:f>
        <x:v>兰亭</x:v>
      </x:c>
      <x:c r="D49" s="27" t="str">
        <x:f>IF('迁盟总表'!E49="","",'迁盟总表'!E49)</x:f>
        <x:v>留盟</x:v>
      </x:c>
      <x:c r="E49" s="40" t="n">
        <x:f>IF('迁盟总表'!Q49="","",'迁盟总表'!Q49)</x:f>
        <x:v>5406571154</x:v>
      </x:c>
      <x:c r="F49" s="40" t="n">
        <x:f>IF('迁盟总表'!R49="","",'迁盟总表'!R49)</x:f>
        <x:v>82016988</x:v>
      </x:c>
      <x:c r="G49" s="40" t="n">
        <x:f>IF('迁盟总表'!S49="","",'迁盟总表'!S49)</x:f>
        <x:v>316671698</x:v>
      </x:c>
      <x:c r="H49" s="37" t="n">
        <x:f>IF('迁盟总表'!H49="","",'迁盟总表'!H49)</x:f>
        <x:v>25.8</x:v>
      </x:c>
      <x:c r="I49" s="37" t="n">
        <x:f>IF('迁盟总表'!I49="","",'迁盟总表'!I49)</x:f>
        <x:v>25.8</x:v>
      </x:c>
      <x:c r="J49" s="40" t="n">
        <x:f>IF('迁盟总表'!J49="","",'迁盟总表'!J49)</x:f>
        <x:v>735</x:v>
      </x:c>
      <x:c r="K49" s="40" t="n">
        <x:f>IF('迁盟总表'!K49="","",'迁盟总表'!K49)</x:f>
        <x:v>779</x:v>
      </x:c>
      <x:c r="L49" s="40" t="n">
        <x:f>IF('迁盟总表'!L49="","",'迁盟总表'!L49)</x:f>
        <x:v>583</x:v>
      </x:c>
      <x:c r="M49" s="40" t="n">
        <x:f>IF('迁盟总表'!M49="","",'迁盟总表'!M49)</x:f>
        <x:v>546</x:v>
      </x:c>
      <x:c r="N49" s="40" t="n">
        <x:f>IF('迁盟总表'!N49="","",'迁盟总表'!N49)</x:f>
        <x:v>787</x:v>
      </x:c>
      <x:c r="O49" s="40" t="n">
        <x:f>IF('迁盟总表'!O49="","",'迁盟总表'!O49)</x:f>
        <x:v>850</x:v>
      </x:c>
      <x:c r="P49" s="40" t="n">
        <x:f>IF('迁盟总表'!P49="","",'迁盟总表'!P49)</x:f>
        <x:v>4280</x:v>
      </x:c>
      <x:c r="Q49" s="43" t="n">
        <x:f>IF('迁盟总表'!X49="","",'迁盟总表'!X49)</x:f>
        <x:v>75.5</x:v>
      </x:c>
      <x:c r="R49" s="27" t="n">
        <x:f>IF('迁盟总表'!Y49="","",'迁盟总表'!Y49)</x:f>
        <x:v>100</x:v>
      </x:c>
      <x:c r="S49" s="55" t="str">
        <x:f>IF('迁盟总表'!Z49="","",'迁盟总表'!Z49)</x:f>
        <x:v>保留兰亭战斗骨干</x:v>
      </x:c>
    </x:row>
    <x:row r="50" ht="20" customHeight="1">
      <x:c r="A50" s="26" t="str">
        <x:f>IF('迁盟总表'!B50="","",'迁盟总表'!B50)</x:f>
        <x:v>无忧城主</x:v>
      </x:c>
      <x:c r="B50" s="27" t="str">
        <x:f>IF('迁盟总表'!C50="","",'迁盟总表'!C50)</x:f>
        <x:v>兰亭</x:v>
      </x:c>
      <x:c r="C50" s="58" t="str">
        <x:f>IF('迁盟总表'!D50="","",'迁盟总表'!D50)</x:f>
        <x:v>兰亭</x:v>
      </x:c>
      <x:c r="D50" s="27" t="str">
        <x:f>IF('迁盟总表'!E50="","",'迁盟总表'!E50)</x:f>
        <x:v>留盟</x:v>
      </x:c>
      <x:c r="E50" s="40" t="n">
        <x:f>IF('迁盟总表'!Q50="","",'迁盟总表'!Q50)</x:f>
        <x:v>3948710339</x:v>
      </x:c>
      <x:c r="F50" s="40" t="n">
        <x:f>IF('迁盟总表'!R50="","",'迁盟总表'!R50)</x:f>
        <x:v>88815432</x:v>
      </x:c>
      <x:c r="G50" s="40" t="n">
        <x:f>IF('迁盟总表'!S50="","",'迁盟总表'!S50)</x:f>
        <x:v>241010435</x:v>
      </x:c>
      <x:c r="H50" s="37" t="str">
        <x:f>IF('迁盟总表'!H50="","",'迁盟总表'!H50)</x:f>
      </x:c>
      <x:c r="I50" s="37" t="str">
        <x:f>IF('迁盟总表'!I50="","",'迁盟总表'!I50)</x:f>
      </x:c>
      <x:c r="J50" s="40" t="str">
        <x:f>IF('迁盟总表'!J50="","",'迁盟总表'!J50)</x:f>
      </x:c>
      <x:c r="K50" s="40" t="str">
        <x:f>IF('迁盟总表'!K50="","",'迁盟总表'!K50)</x:f>
      </x:c>
      <x:c r="L50" s="40" t="str">
        <x:f>IF('迁盟总表'!L50="","",'迁盟总表'!L50)</x:f>
      </x:c>
      <x:c r="M50" s="40" t="str">
        <x:f>IF('迁盟总表'!M50="","",'迁盟总表'!M50)</x:f>
      </x:c>
      <x:c r="N50" s="40" t="str">
        <x:f>IF('迁盟总表'!N50="","",'迁盟总表'!N50)</x:f>
      </x:c>
      <x:c r="O50" s="40" t="str">
        <x:f>IF('迁盟总表'!O50="","",'迁盟总表'!O50)</x:f>
      </x:c>
      <x:c r="P50" s="40" t="str">
        <x:f>IF('迁盟总表'!P50="","",'迁盟总表'!P50)</x:f>
      </x:c>
      <x:c r="Q50" s="43" t="n">
        <x:f>IF('迁盟总表'!X50="","",'迁盟总表'!X50)</x:f>
        <x:v>75.3</x:v>
      </x:c>
      <x:c r="R50" s="27" t="n">
        <x:f>IF('迁盟总表'!Y50="","",'迁盟总表'!Y50)</x:f>
        <x:v>102</x:v>
      </x:c>
      <x:c r="S50" s="55" t="str">
        <x:f>IF('迁盟总表'!Z50="","",'迁盟总表'!Z50)</x:f>
        <x:v>保留兰亭战斗骨干</x:v>
      </x:c>
    </x:row>
    <x:row r="51" ht="20" customHeight="1">
      <x:c r="A51" s="26" t="str">
        <x:f>IF('迁盟总表'!B51="","",'迁盟总表'!B51)</x:f>
        <x:v>我我丶</x:v>
      </x:c>
      <x:c r="B51" s="27" t="str">
        <x:f>IF('迁盟总表'!C51="","",'迁盟总表'!C51)</x:f>
        <x:v>兰亭</x:v>
      </x:c>
      <x:c r="C51" s="58" t="str">
        <x:f>IF('迁盟总表'!D51="","",'迁盟总表'!D51)</x:f>
        <x:v>兰亭</x:v>
      </x:c>
      <x:c r="D51" s="27" t="str">
        <x:f>IF('迁盟总表'!E51="","",'迁盟总表'!E51)</x:f>
        <x:v>留盟</x:v>
      </x:c>
      <x:c r="E51" s="40" t="n">
        <x:f>IF('迁盟总表'!Q51="","",'迁盟总表'!Q51)</x:f>
        <x:v>937364504</x:v>
      </x:c>
      <x:c r="F51" s="40" t="n">
        <x:f>IF('迁盟总表'!R51="","",'迁盟总表'!R51)</x:f>
        <x:v>96498883</x:v>
      </x:c>
      <x:c r="G51" s="40" t="n">
        <x:f>IF('迁盟总表'!S51="","",'迁盟总表'!S51)</x:f>
        <x:v>270458449</x:v>
      </x:c>
      <x:c r="H51" s="37" t="n">
        <x:f>IF('迁盟总表'!H51="","",'迁盟总表'!H51)</x:f>
        <x:v>28.2</x:v>
      </x:c>
      <x:c r="I51" s="37" t="n">
        <x:f>IF('迁盟总表'!I51="","",'迁盟总表'!I51)</x:f>
        <x:v>28.2</x:v>
      </x:c>
      <x:c r="J51" s="40" t="n">
        <x:f>IF('迁盟总表'!J51="","",'迁盟总表'!J51)</x:f>
        <x:v>833</x:v>
      </x:c>
      <x:c r="K51" s="40" t="n">
        <x:f>IF('迁盟总表'!K51="","",'迁盟总表'!K51)</x:f>
        <x:v>838</x:v>
      </x:c>
      <x:c r="L51" s="40" t="n">
        <x:f>IF('迁盟总表'!L51="","",'迁盟总表'!L51)</x:f>
        <x:v>731</x:v>
      </x:c>
      <x:c r="M51" s="40" t="n">
        <x:f>IF('迁盟总表'!M51="","",'迁盟总表'!M51)</x:f>
        <x:v>615</x:v>
      </x:c>
      <x:c r="N51" s="40" t="n">
        <x:f>IF('迁盟总表'!N51="","",'迁盟总表'!N51)</x:f>
        <x:v>749</x:v>
      </x:c>
      <x:c r="O51" s="40" t="n">
        <x:f>IF('迁盟总表'!O51="","",'迁盟总表'!O51)</x:f>
        <x:v>707</x:v>
      </x:c>
      <x:c r="P51" s="40" t="n">
        <x:f>IF('迁盟总表'!P51="","",'迁盟总表'!P51)</x:f>
        <x:v>4473</x:v>
      </x:c>
      <x:c r="Q51" s="43" t="n">
        <x:f>IF('迁盟总表'!X51="","",'迁盟总表'!X51)</x:f>
        <x:v>75.2</x:v>
      </x:c>
      <x:c r="R51" s="27" t="n">
        <x:f>IF('迁盟总表'!Y51="","",'迁盟总表'!Y51)</x:f>
        <x:v>105</x:v>
      </x:c>
      <x:c r="S51" s="55" t="str">
        <x:f>IF('迁盟总表'!Z51="","",'迁盟总表'!Z51)</x:f>
        <x:v>保留兰亭战斗骨干</x:v>
      </x:c>
    </x:row>
    <x:row r="52" ht="20" customHeight="1">
      <x:c r="A52" s="26" t="str">
        <x:f>IF('迁盟总表'!B52="","",'迁盟总表'!B52)</x:f>
        <x:v>资本家来了</x:v>
      </x:c>
      <x:c r="B52" s="27" t="str">
        <x:f>IF('迁盟总表'!C52="","",'迁盟总表'!C52)</x:f>
        <x:v>兰亭</x:v>
      </x:c>
      <x:c r="C52" s="58" t="str">
        <x:f>IF('迁盟总表'!D52="","",'迁盟总表'!D52)</x:f>
        <x:v>兰亭</x:v>
      </x:c>
      <x:c r="D52" s="27" t="str">
        <x:f>IF('迁盟总表'!E52="","",'迁盟总表'!E52)</x:f>
        <x:v>留盟</x:v>
      </x:c>
      <x:c r="E52" s="40" t="n">
        <x:f>IF('迁盟总表'!Q52="","",'迁盟总表'!Q52)</x:f>
        <x:v>4019387772</x:v>
      </x:c>
      <x:c r="F52" s="40" t="n">
        <x:f>IF('迁盟总表'!R52="","",'迁盟总表'!R52)</x:f>
        <x:v>86885168</x:v>
      </x:c>
      <x:c r="G52" s="40" t="n">
        <x:f>IF('迁盟总表'!S52="","",'迁盟总表'!S52)</x:f>
        <x:v>264015491</x:v>
      </x:c>
      <x:c r="H52" s="37" t="n">
        <x:f>IF('迁盟总表'!H52="","",'迁盟总表'!H52)</x:f>
        <x:v>28.6</x:v>
      </x:c>
      <x:c r="I52" s="37" t="n">
        <x:f>IF('迁盟总表'!I52="","",'迁盟总表'!I52)</x:f>
        <x:v>28.6</x:v>
      </x:c>
      <x:c r="J52" s="40" t="n">
        <x:f>IF('迁盟总表'!J52="","",'迁盟总表'!J52)</x:f>
        <x:v>840</x:v>
      </x:c>
      <x:c r="K52" s="40" t="n">
        <x:f>IF('迁盟总表'!K52="","",'迁盟总表'!K52)</x:f>
        <x:v>888</x:v>
      </x:c>
      <x:c r="L52" s="40" t="n">
        <x:f>IF('迁盟总表'!L52="","",'迁盟总表'!L52)</x:f>
        <x:v>610</x:v>
      </x:c>
      <x:c r="M52" s="40" t="n">
        <x:f>IF('迁盟总表'!M52="","",'迁盟总表'!M52)</x:f>
        <x:v>597</x:v>
      </x:c>
      <x:c r="N52" s="40" t="n">
        <x:f>IF('迁盟总表'!N52="","",'迁盟总表'!N52)</x:f>
        <x:v>787</x:v>
      </x:c>
      <x:c r="O52" s="40" t="n">
        <x:f>IF('迁盟总表'!O52="","",'迁盟总表'!O52)</x:f>
        <x:v>850</x:v>
      </x:c>
      <x:c r="P52" s="40" t="n">
        <x:f>IF('迁盟总表'!P52="","",'迁盟总表'!P52)</x:f>
        <x:v>4572</x:v>
      </x:c>
      <x:c r="Q52" s="43" t="n">
        <x:f>IF('迁盟总表'!X52="","",'迁盟总表'!X52)</x:f>
        <x:v>75.2</x:v>
      </x:c>
      <x:c r="R52" s="27" t="n">
        <x:f>IF('迁盟总表'!Y52="","",'迁盟总表'!Y52)</x:f>
        <x:v>105</x:v>
      </x:c>
      <x:c r="S52" s="55" t="str">
        <x:f>IF('迁盟总表'!Z52="","",'迁盟总表'!Z52)</x:f>
        <x:v>保留兰亭战斗骨干</x:v>
      </x:c>
    </x:row>
    <x:row r="53" ht="20" customHeight="1">
      <x:c r="A53" s="26" t="str">
        <x:f>IF('迁盟总表'!B53="","",'迁盟总表'!B53)</x:f>
        <x:v>钱多多</x:v>
      </x:c>
      <x:c r="B53" s="27" t="str">
        <x:f>IF('迁盟总表'!C53="","",'迁盟总表'!C53)</x:f>
        <x:v>兰亭</x:v>
      </x:c>
      <x:c r="C53" s="58" t="str">
        <x:f>IF('迁盟总表'!D53="","",'迁盟总表'!D53)</x:f>
        <x:v>兰亭</x:v>
      </x:c>
      <x:c r="D53" s="27" t="str">
        <x:f>IF('迁盟总表'!E53="","",'迁盟总表'!E53)</x:f>
        <x:v>留盟</x:v>
      </x:c>
      <x:c r="E53" s="40" t="n">
        <x:f>IF('迁盟总表'!Q53="","",'迁盟总表'!Q53)</x:f>
        <x:v>2237553450</x:v>
      </x:c>
      <x:c r="F53" s="40" t="n">
        <x:f>IF('迁盟总表'!R53="","",'迁盟总表'!R53)</x:f>
        <x:v>85781811</x:v>
      </x:c>
      <x:c r="G53" s="40" t="n">
        <x:f>IF('迁盟总表'!S53="","",'迁盟总表'!S53)</x:f>
        <x:v>336253108</x:v>
      </x:c>
      <x:c r="H53" s="37" t="n">
        <x:f>IF('迁盟总表'!H53="","",'迁盟总表'!H53)</x:f>
        <x:v>28.8</x:v>
      </x:c>
      <x:c r="I53" s="37" t="n">
        <x:f>IF('迁盟总表'!I53="","",'迁盟总表'!I53)</x:f>
        <x:v>26.7</x:v>
      </x:c>
      <x:c r="J53" s="40" t="n">
        <x:f>IF('迁盟总表'!J53="","",'迁盟总表'!J53)</x:f>
        <x:v>633</x:v>
      </x:c>
      <x:c r="K53" s="40" t="n">
        <x:f>IF('迁盟总表'!K53="","",'迁盟总表'!K53)</x:f>
        <x:v>671</x:v>
      </x:c>
      <x:c r="L53" s="40" t="n">
        <x:f>IF('迁盟总表'!L53="","",'迁盟总表'!L53)</x:f>
        <x:v>645</x:v>
      </x:c>
      <x:c r="M53" s="40" t="n">
        <x:f>IF('迁盟总表'!M53="","",'迁盟总表'!M53)</x:f>
        <x:v>510</x:v>
      </x:c>
      <x:c r="N53" s="40" t="n">
        <x:f>IF('迁盟总表'!N53="","",'迁盟总表'!N53)</x:f>
        <x:v>663</x:v>
      </x:c>
      <x:c r="O53" s="40" t="n">
        <x:f>IF('迁盟总表'!O53="","",'迁盟总表'!O53)</x:f>
        <x:v>606</x:v>
      </x:c>
      <x:c r="P53" s="40" t="n">
        <x:f>IF('迁盟总表'!P53="","",'迁盟总表'!P53)</x:f>
        <x:v>3728</x:v>
      </x:c>
      <x:c r="Q53" s="43" t="n">
        <x:f>IF('迁盟总表'!X53="","",'迁盟总表'!X53)</x:f>
        <x:v>74.7</x:v>
      </x:c>
      <x:c r="R53" s="27" t="n">
        <x:f>IF('迁盟总表'!Y53="","",'迁盟总表'!Y53)</x:f>
        <x:v>118</x:v>
      </x:c>
      <x:c r="S53" s="55" t="str">
        <x:f>IF('迁盟总表'!Z53="","",'迁盟总表'!Z53)</x:f>
        <x:v>保留兰亭战斗骨干</x:v>
      </x:c>
    </x:row>
    <x:row r="54" ht="20" customHeight="1">
      <x:c r="A54" s="26" t="str">
        <x:f>IF('迁盟总表'!B54="","",'迁盟总表'!B54)</x:f>
        <x:v>大盗老李</x:v>
      </x:c>
      <x:c r="B54" s="27" t="str">
        <x:f>IF('迁盟总表'!C54="","",'迁盟总表'!C54)</x:f>
        <x:v>兰亭</x:v>
      </x:c>
      <x:c r="C54" s="58" t="str">
        <x:f>IF('迁盟总表'!D54="","",'迁盟总表'!D54)</x:f>
        <x:v>兰亭</x:v>
      </x:c>
      <x:c r="D54" s="27" t="str">
        <x:f>IF('迁盟总表'!E54="","",'迁盟总表'!E54)</x:f>
        <x:v>留盟</x:v>
      </x:c>
      <x:c r="E54" s="40" t="n">
        <x:f>IF('迁盟总表'!Q54="","",'迁盟总表'!Q54)</x:f>
        <x:v>6502326438</x:v>
      </x:c>
      <x:c r="F54" s="40" t="n">
        <x:f>IF('迁盟总表'!R54="","",'迁盟总表'!R54)</x:f>
        <x:v>79311519</x:v>
      </x:c>
      <x:c r="G54" s="40" t="n">
        <x:f>IF('迁盟总表'!S54="","",'迁盟总表'!S54)</x:f>
        <x:v>284166898</x:v>
      </x:c>
      <x:c r="H54" s="37" t="n">
        <x:f>IF('迁盟总表'!H54="","",'迁盟总表'!H54)</x:f>
        <x:v>28.8</x:v>
      </x:c>
      <x:c r="I54" s="37" t="n">
        <x:f>IF('迁盟总表'!I54="","",'迁盟总表'!I54)</x:f>
        <x:v>28.8</x:v>
      </x:c>
      <x:c r="J54" s="40" t="n">
        <x:f>IF('迁盟总表'!J54="","",'迁盟总表'!J54)</x:f>
        <x:v>743</x:v>
      </x:c>
      <x:c r="K54" s="40" t="n">
        <x:f>IF('迁盟总表'!K54="","",'迁盟总表'!K54)</x:f>
        <x:v>760</x:v>
      </x:c>
      <x:c r="L54" s="40" t="n">
        <x:f>IF('迁盟总表'!L54="","",'迁盟总表'!L54)</x:f>
        <x:v>722</x:v>
      </x:c>
      <x:c r="M54" s="40" t="n">
        <x:f>IF('迁盟总表'!M54="","",'迁盟总表'!M54)</x:f>
        <x:v>590</x:v>
      </x:c>
      <x:c r="N54" s="40" t="n">
        <x:f>IF('迁盟总表'!N54="","",'迁盟总表'!N54)</x:f>
        <x:v>792</x:v>
      </x:c>
      <x:c r="O54" s="40" t="n">
        <x:f>IF('迁盟总表'!O54="","",'迁盟总表'!O54)</x:f>
        <x:v>748</x:v>
      </x:c>
      <x:c r="P54" s="40" t="n">
        <x:f>IF('迁盟总表'!P54="","",'迁盟总表'!P54)</x:f>
        <x:v>4355</x:v>
      </x:c>
      <x:c r="Q54" s="43" t="n">
        <x:f>IF('迁盟总表'!X54="","",'迁盟总表'!X54)</x:f>
        <x:v>74.3</x:v>
      </x:c>
      <x:c r="R54" s="27" t="n">
        <x:f>IF('迁盟总表'!Y54="","",'迁盟总表'!Y54)</x:f>
        <x:v>121</x:v>
      </x:c>
      <x:c r="S54" s="55" t="str">
        <x:f>IF('迁盟总表'!Z54="","",'迁盟总表'!Z54)</x:f>
        <x:v>保留兰亭战斗骨干</x:v>
      </x:c>
    </x:row>
    <x:row r="55" ht="20" customHeight="1">
      <x:c r="A55" s="26" t="str">
        <x:f>IF('迁盟总表'!B55="","",'迁盟总表'!B55)</x:f>
        <x:v>云栖洛晚</x:v>
      </x:c>
      <x:c r="B55" s="27" t="str">
        <x:f>IF('迁盟总表'!C55="","",'迁盟总表'!C55)</x:f>
        <x:v>兰亭</x:v>
      </x:c>
      <x:c r="C55" s="58" t="str">
        <x:f>IF('迁盟总表'!D55="","",'迁盟总表'!D55)</x:f>
        <x:v>兰亭</x:v>
      </x:c>
      <x:c r="D55" s="27" t="str">
        <x:f>IF('迁盟总表'!E55="","",'迁盟总表'!E55)</x:f>
        <x:v>留盟</x:v>
      </x:c>
      <x:c r="E55" s="40" t="n">
        <x:f>IF('迁盟总表'!Q55="","",'迁盟总表'!Q55)</x:f>
        <x:v>5227896431</x:v>
      </x:c>
      <x:c r="F55" s="40" t="n">
        <x:f>IF('迁盟总表'!R55="","",'迁盟总表'!R55)</x:f>
        <x:v>84641732</x:v>
      </x:c>
      <x:c r="G55" s="40" t="n">
        <x:f>IF('迁盟总表'!S55="","",'迁盟总表'!S55)</x:f>
        <x:v>223055079</x:v>
      </x:c>
      <x:c r="H55" s="37" t="n">
        <x:f>IF('迁盟总表'!H55="","",'迁盟总表'!H55)</x:f>
        <x:v>28.3</x:v>
      </x:c>
      <x:c r="I55" s="37" t="n">
        <x:f>IF('迁盟总表'!I55="","",'迁盟总表'!I55)</x:f>
        <x:v>28.3</x:v>
      </x:c>
      <x:c r="J55" s="40" t="n">
        <x:f>IF('迁盟总表'!J55="","",'迁盟总表'!J55)</x:f>
        <x:v>830</x:v>
      </x:c>
      <x:c r="K55" s="40" t="n">
        <x:f>IF('迁盟总表'!K55="","",'迁盟总表'!K55)</x:f>
        <x:v>930</x:v>
      </x:c>
      <x:c r="L55" s="40" t="n">
        <x:f>IF('迁盟总表'!L55="","",'迁盟总表'!L55)</x:f>
        <x:v>681</x:v>
      </x:c>
      <x:c r="M55" s="40" t="n">
        <x:f>IF('迁盟总表'!M55="","",'迁盟总表'!M55)</x:f>
        <x:v>693</x:v>
      </x:c>
      <x:c r="N55" s="40" t="n">
        <x:f>IF('迁盟总表'!N55="","",'迁盟总表'!N55)</x:f>
        <x:v>800</x:v>
      </x:c>
      <x:c r="O55" s="40" t="n">
        <x:f>IF('迁盟总表'!O55="","",'迁盟总表'!O55)</x:f>
        <x:v>865</x:v>
      </x:c>
      <x:c r="P55" s="40" t="n">
        <x:f>IF('迁盟总表'!P55="","",'迁盟总表'!P55)</x:f>
        <x:v>4799</x:v>
      </x:c>
      <x:c r="Q55" s="43" t="n">
        <x:f>IF('迁盟总表'!X55="","",'迁盟总表'!X55)</x:f>
        <x:v>74.2</x:v>
      </x:c>
      <x:c r="R55" s="27" t="n">
        <x:f>IF('迁盟总表'!Y55="","",'迁盟总表'!Y55)</x:f>
        <x:v>123</x:v>
      </x:c>
      <x:c r="S55" s="55" t="str">
        <x:f>IF('迁盟总表'!Z55="","",'迁盟总表'!Z55)</x:f>
        <x:v>保留兰亭战斗骨干</x:v>
      </x:c>
    </x:row>
    <x:row r="56" ht="20" customHeight="1">
      <x:c r="A56" s="26" t="str">
        <x:f>IF('迁盟总表'!B56="","",'迁盟总表'!B56)</x:f>
        <x:v>宝可梦大师小智</x:v>
      </x:c>
      <x:c r="B56" s="27" t="str">
        <x:f>IF('迁盟总表'!C56="","",'迁盟总表'!C56)</x:f>
        <x:v>兰亭</x:v>
      </x:c>
      <x:c r="C56" s="58" t="str">
        <x:f>IF('迁盟总表'!D56="","",'迁盟总表'!D56)</x:f>
        <x:v>兰亭</x:v>
      </x:c>
      <x:c r="D56" s="27" t="str">
        <x:f>IF('迁盟总表'!E56="","",'迁盟总表'!E56)</x:f>
        <x:v>留盟</x:v>
      </x:c>
      <x:c r="E56" s="40" t="n">
        <x:f>IF('迁盟总表'!Q56="","",'迁盟总表'!Q56)</x:f>
        <x:v>5129031082</x:v>
      </x:c>
      <x:c r="F56" s="40" t="n">
        <x:f>IF('迁盟总表'!R56="","",'迁盟总表'!R56)</x:f>
        <x:v>78504032</x:v>
      </x:c>
      <x:c r="G56" s="40" t="n">
        <x:f>IF('迁盟总表'!S56="","",'迁盟总表'!S56)</x:f>
        <x:v>300827832</x:v>
      </x:c>
      <x:c r="H56" s="37" t="n">
        <x:f>IF('迁盟总表'!H56="","",'迁盟总表'!H56)</x:f>
        <x:v>28.8</x:v>
      </x:c>
      <x:c r="I56" s="37" t="n">
        <x:f>IF('迁盟总表'!I56="","",'迁盟总表'!I56)</x:f>
        <x:v>28.8</x:v>
      </x:c>
      <x:c r="J56" s="40" t="n">
        <x:f>IF('迁盟总表'!J56="","",'迁盟总表'!J56)</x:f>
        <x:v>757</x:v>
      </x:c>
      <x:c r="K56" s="40" t="n">
        <x:f>IF('迁盟总表'!K56="","",'迁盟总表'!K56)</x:f>
        <x:v>813</x:v>
      </x:c>
      <x:c r="L56" s="40" t="n">
        <x:f>IF('迁盟总表'!L56="","",'迁盟总表'!L56)</x:f>
        <x:v>717</x:v>
      </x:c>
      <x:c r="M56" s="40" t="n">
        <x:f>IF('迁盟总表'!M56="","",'迁盟总表'!M56)</x:f>
        <x:v>556</x:v>
      </x:c>
      <x:c r="N56" s="40" t="n">
        <x:f>IF('迁盟总表'!N56="","",'迁盟总表'!N56)</x:f>
        <x:v>736</x:v>
      </x:c>
      <x:c r="O56" s="40" t="n">
        <x:f>IF('迁盟总表'!O56="","",'迁盟总表'!O56)</x:f>
        <x:v>667</x:v>
      </x:c>
      <x:c r="P56" s="40" t="n">
        <x:f>IF('迁盟总表'!P56="","",'迁盟总表'!P56)</x:f>
        <x:v>4246</x:v>
      </x:c>
      <x:c r="Q56" s="43" t="n">
        <x:f>IF('迁盟总表'!X56="","",'迁盟总表'!X56)</x:f>
        <x:v>74</x:v>
      </x:c>
      <x:c r="R56" s="27" t="n">
        <x:f>IF('迁盟总表'!Y56="","",'迁盟总表'!Y56)</x:f>
        <x:v>126</x:v>
      </x:c>
      <x:c r="S56" s="55" t="str">
        <x:f>IF('迁盟总表'!Z56="","",'迁盟总表'!Z56)</x:f>
        <x:v>保留兰亭战斗骨干</x:v>
      </x:c>
    </x:row>
    <x:row r="57" ht="20" customHeight="1">
      <x:c r="A57" s="26" t="str">
        <x:f>IF('迁盟总表'!B57="","",'迁盟总表'!B57)</x:f>
        <x:v>龙之天蝎</x:v>
      </x:c>
      <x:c r="B57" s="27" t="str">
        <x:f>IF('迁盟总表'!C57="","",'迁盟总表'!C57)</x:f>
        <x:v>兰亭</x:v>
      </x:c>
      <x:c r="C57" s="58" t="str">
        <x:f>IF('迁盟总表'!D57="","",'迁盟总表'!D57)</x:f>
        <x:v>兰亭</x:v>
      </x:c>
      <x:c r="D57" s="27" t="str">
        <x:f>IF('迁盟总表'!E57="","",'迁盟总表'!E57)</x:f>
        <x:v>留盟</x:v>
      </x:c>
      <x:c r="E57" s="40" t="n">
        <x:f>IF('迁盟总表'!Q57="","",'迁盟总表'!Q57)</x:f>
        <x:v>6190047328</x:v>
      </x:c>
      <x:c r="F57" s="40" t="n">
        <x:f>IF('迁盟总表'!R57="","",'迁盟总表'!R57)</x:f>
        <x:v>84860333</x:v>
      </x:c>
      <x:c r="G57" s="40" t="n">
        <x:f>IF('迁盟总表'!S57="","",'迁盟总表'!S57)</x:f>
        <x:v>213578568</x:v>
      </x:c>
      <x:c r="H57" s="37" t="n">
        <x:f>IF('迁盟总表'!H57="","",'迁盟总表'!H57)</x:f>
        <x:v>28.8</x:v>
      </x:c>
      <x:c r="I57" s="37" t="n">
        <x:f>IF('迁盟总表'!I57="","",'迁盟总表'!I57)</x:f>
        <x:v>28.8</x:v>
      </x:c>
      <x:c r="J57" s="40" t="n">
        <x:f>IF('迁盟总表'!J57="","",'迁盟总表'!J57)</x:f>
        <x:v>809</x:v>
      </x:c>
      <x:c r="K57" s="40" t="n">
        <x:f>IF('迁盟总表'!K57="","",'迁盟总表'!K57)</x:f>
        <x:v>895</x:v>
      </x:c>
      <x:c r="L57" s="40" t="n">
        <x:f>IF('迁盟总表'!L57="","",'迁盟总表'!L57)</x:f>
        <x:v>689</x:v>
      </x:c>
      <x:c r="M57" s="40" t="n">
        <x:f>IF('迁盟总表'!M57="","",'迁盟总表'!M57)</x:f>
        <x:v>590</x:v>
      </x:c>
      <x:c r="N57" s="40" t="n">
        <x:f>IF('迁盟总表'!N57="","",'迁盟总表'!N57)</x:f>
        <x:v>736</x:v>
      </x:c>
      <x:c r="O57" s="40" t="n">
        <x:f>IF('迁盟总表'!O57="","",'迁盟总表'!O57)</x:f>
        <x:v>781</x:v>
      </x:c>
      <x:c r="P57" s="40" t="n">
        <x:f>IF('迁盟总表'!P57="","",'迁盟总表'!P57)</x:f>
        <x:v>4500</x:v>
      </x:c>
      <x:c r="Q57" s="43" t="n">
        <x:f>IF('迁盟总表'!X57="","",'迁盟总表'!X57)</x:f>
        <x:v>73.8</x:v>
      </x:c>
      <x:c r="R57" s="27" t="n">
        <x:f>IF('迁盟总表'!Y57="","",'迁盟总表'!Y57)</x:f>
        <x:v>129</x:v>
      </x:c>
      <x:c r="S57" s="55" t="str">
        <x:f>IF('迁盟总表'!Z57="","",'迁盟总表'!Z57)</x:f>
        <x:v>保留兰亭战斗骨干</x:v>
      </x:c>
    </x:row>
    <x:row r="58" ht="20" customHeight="1">
      <x:c r="A58" s="26" t="str">
        <x:f>IF('迁盟总表'!B58="","",'迁盟总表'!B58)</x:f>
        <x:v>快猫儿</x:v>
      </x:c>
      <x:c r="B58" s="27" t="str">
        <x:f>IF('迁盟总表'!C58="","",'迁盟总表'!C58)</x:f>
        <x:v>兰亭</x:v>
      </x:c>
      <x:c r="C58" s="58" t="str">
        <x:f>IF('迁盟总表'!D58="","",'迁盟总表'!D58)</x:f>
        <x:v>兰亭</x:v>
      </x:c>
      <x:c r="D58" s="27" t="str">
        <x:f>IF('迁盟总表'!E58="","",'迁盟总表'!E58)</x:f>
        <x:v>留盟</x:v>
      </x:c>
      <x:c r="E58" s="40" t="n">
        <x:f>IF('迁盟总表'!Q58="","",'迁盟总表'!Q58)</x:f>
        <x:v>9896267434</x:v>
      </x:c>
      <x:c r="F58" s="40" t="n">
        <x:f>IF('迁盟总表'!R58="","",'迁盟总表'!R58)</x:f>
        <x:v>78525544</x:v>
      </x:c>
      <x:c r="G58" s="40" t="n">
        <x:f>IF('迁盟总表'!S58="","",'迁盟总表'!S58)</x:f>
        <x:v>254392879</x:v>
      </x:c>
      <x:c r="H58" s="37" t="n">
        <x:f>IF('迁盟总表'!H58="","",'迁盟总表'!H58)</x:f>
        <x:v>28.8</x:v>
      </x:c>
      <x:c r="I58" s="37" t="n">
        <x:f>IF('迁盟总表'!I58="","",'迁盟总表'!I58)</x:f>
        <x:v>28.8</x:v>
      </x:c>
      <x:c r="J58" s="40" t="n">
        <x:f>IF('迁盟总表'!J58="","",'迁盟总表'!J58)</x:f>
        <x:v>780</x:v>
      </x:c>
      <x:c r="K58" s="40" t="n">
        <x:f>IF('迁盟总表'!K58="","",'迁盟总表'!K58)</x:f>
        <x:v>792</x:v>
      </x:c>
      <x:c r="L58" s="40" t="n">
        <x:f>IF('迁盟总表'!L58="","",'迁盟总表'!L58)</x:f>
        <x:v>677</x:v>
      </x:c>
      <x:c r="M58" s="40" t="n">
        <x:f>IF('迁盟总表'!M58="","",'迁盟总表'!M58)</x:f>
        <x:v>526</x:v>
      </x:c>
      <x:c r="N58" s="40" t="n">
        <x:f>IF('迁盟总表'!N58="","",'迁盟总表'!N58)</x:f>
        <x:v>724</x:v>
      </x:c>
      <x:c r="O58" s="40" t="n">
        <x:f>IF('迁盟总表'!O58="","",'迁盟总表'!O58)</x:f>
        <x:v>767</x:v>
      </x:c>
      <x:c r="P58" s="40" t="n">
        <x:f>IF('迁盟总表'!P58="","",'迁盟总表'!P58)</x:f>
        <x:v>4266</x:v>
      </x:c>
      <x:c r="Q58" s="43" t="n">
        <x:f>IF('迁盟总表'!X58="","",'迁盟总表'!X58)</x:f>
        <x:v>73.8</x:v>
      </x:c>
      <x:c r="R58" s="27" t="n">
        <x:f>IF('迁盟总表'!Y58="","",'迁盟总表'!Y58)</x:f>
        <x:v>129</x:v>
      </x:c>
      <x:c r="S58" s="55" t="str">
        <x:f>IF('迁盟总表'!Z58="","",'迁盟总表'!Z58)</x:f>
        <x:v>保留兰亭战斗骨干</x:v>
      </x:c>
    </x:row>
    <x:row r="59" ht="20" customHeight="1">
      <x:c r="A59" s="26" t="str">
        <x:f>IF('迁盟总表'!B59="","",'迁盟总表'!B59)</x:f>
        <x:v>南城以梦归</x:v>
      </x:c>
      <x:c r="B59" s="27" t="str">
        <x:f>IF('迁盟总表'!C59="","",'迁盟总表'!C59)</x:f>
        <x:v>兰亭</x:v>
      </x:c>
      <x:c r="C59" s="58" t="str">
        <x:f>IF('迁盟总表'!D59="","",'迁盟总表'!D59)</x:f>
        <x:v>兰亭</x:v>
      </x:c>
      <x:c r="D59" s="27" t="str">
        <x:f>IF('迁盟总表'!E59="","",'迁盟总表'!E59)</x:f>
        <x:v>留盟</x:v>
      </x:c>
      <x:c r="E59" s="40" t="n">
        <x:f>IF('迁盟总表'!Q59="","",'迁盟总表'!Q59)</x:f>
        <x:v>7680390146</x:v>
      </x:c>
      <x:c r="F59" s="40" t="n">
        <x:f>IF('迁盟总表'!R59="","",'迁盟总表'!R59)</x:f>
        <x:v>76608624</x:v>
      </x:c>
      <x:c r="G59" s="40" t="n">
        <x:f>IF('迁盟总表'!S59="","",'迁盟总表'!S59)</x:f>
        <x:v>249569386</x:v>
      </x:c>
      <x:c r="H59" s="37" t="str">
        <x:f>IF('迁盟总表'!H59="","",'迁盟总表'!H59)</x:f>
      </x:c>
      <x:c r="I59" s="37" t="str">
        <x:f>IF('迁盟总表'!I59="","",'迁盟总表'!I59)</x:f>
      </x:c>
      <x:c r="J59" s="40" t="str">
        <x:f>IF('迁盟总表'!J59="","",'迁盟总表'!J59)</x:f>
      </x:c>
      <x:c r="K59" s="40" t="str">
        <x:f>IF('迁盟总表'!K59="","",'迁盟总表'!K59)</x:f>
      </x:c>
      <x:c r="L59" s="40" t="str">
        <x:f>IF('迁盟总表'!L59="","",'迁盟总表'!L59)</x:f>
      </x:c>
      <x:c r="M59" s="40" t="str">
        <x:f>IF('迁盟总表'!M59="","",'迁盟总表'!M59)</x:f>
      </x:c>
      <x:c r="N59" s="40" t="str">
        <x:f>IF('迁盟总表'!N59="","",'迁盟总表'!N59)</x:f>
      </x:c>
      <x:c r="O59" s="40" t="str">
        <x:f>IF('迁盟总表'!O59="","",'迁盟总表'!O59)</x:f>
      </x:c>
      <x:c r="P59" s="40" t="str">
        <x:f>IF('迁盟总表'!P59="","",'迁盟总表'!P59)</x:f>
      </x:c>
      <x:c r="Q59" s="43" t="n">
        <x:f>IF('迁盟总表'!X59="","",'迁盟总表'!X59)</x:f>
        <x:v>73.4</x:v>
      </x:c>
      <x:c r="R59" s="27" t="n">
        <x:f>IF('迁盟总表'!Y59="","",'迁盟总表'!Y59)</x:f>
        <x:v>135</x:v>
      </x:c>
      <x:c r="S59" s="55" t="str">
        <x:f>IF('迁盟总表'!Z59="","",'迁盟总表'!Z59)</x:f>
        <x:v>保留兰亭战斗骨干</x:v>
      </x:c>
    </x:row>
    <x:row r="60" ht="20" customHeight="1">
      <x:c r="A60" s="26" t="str">
        <x:f>IF('迁盟总表'!B60="","",'迁盟总表'!B60)</x:f>
        <x:v>北斗七星</x:v>
      </x:c>
      <x:c r="B60" s="27" t="str">
        <x:f>IF('迁盟总表'!C60="","",'迁盟总表'!C60)</x:f>
        <x:v>兰亭</x:v>
      </x:c>
      <x:c r="C60" s="58" t="str">
        <x:f>IF('迁盟总表'!D60="","",'迁盟总表'!D60)</x:f>
        <x:v>兰亭</x:v>
      </x:c>
      <x:c r="D60" s="27" t="str">
        <x:f>IF('迁盟总表'!E60="","",'迁盟总表'!E60)</x:f>
        <x:v>留盟</x:v>
      </x:c>
      <x:c r="E60" s="40" t="n">
        <x:f>IF('迁盟总表'!Q60="","",'迁盟总表'!Q60)</x:f>
        <x:v>1325875523</x:v>
      </x:c>
      <x:c r="F60" s="40" t="n">
        <x:f>IF('迁盟总表'!R60="","",'迁盟总表'!R60)</x:f>
        <x:v>86065017</x:v>
      </x:c>
      <x:c r="G60" s="40" t="n">
        <x:f>IF('迁盟总表'!S60="","",'迁盟总表'!S60)</x:f>
        <x:v>281906002</x:v>
      </x:c>
      <x:c r="H60" s="37" t="n">
        <x:f>IF('迁盟总表'!H60="","",'迁盟总表'!H60)</x:f>
        <x:v>28.8</x:v>
      </x:c>
      <x:c r="I60" s="37" t="n">
        <x:f>IF('迁盟总表'!I60="","",'迁盟总表'!I60)</x:f>
        <x:v>28.8</x:v>
      </x:c>
      <x:c r="J60" s="40" t="n">
        <x:f>IF('迁盟总表'!J60="","",'迁盟总表'!J60)</x:f>
        <x:v>819</x:v>
      </x:c>
      <x:c r="K60" s="40" t="n">
        <x:f>IF('迁盟总表'!K60="","",'迁盟总表'!K60)</x:f>
        <x:v>881</x:v>
      </x:c>
      <x:c r="L60" s="40" t="n">
        <x:f>IF('迁盟总表'!L60="","",'迁盟总表'!L60)</x:f>
        <x:v>706</x:v>
      </x:c>
      <x:c r="M60" s="40" t="n">
        <x:f>IF('迁盟总表'!M60="","",'迁盟总表'!M60)</x:f>
        <x:v>545</x:v>
      </x:c>
      <x:c r="N60" s="40" t="n">
        <x:f>IF('迁盟总表'!N60="","",'迁盟总表'!N60)</x:f>
        <x:v>722</x:v>
      </x:c>
      <x:c r="O60" s="40" t="n">
        <x:f>IF('迁盟总表'!O60="","",'迁盟总表'!O60)</x:f>
        <x:v>732</x:v>
      </x:c>
      <x:c r="P60" s="40" t="n">
        <x:f>IF('迁盟总表'!P60="","",'迁盟总表'!P60)</x:f>
        <x:v>4405</x:v>
      </x:c>
      <x:c r="Q60" s="43" t="n">
        <x:f>IF('迁盟总表'!X60="","",'迁盟总表'!X60)</x:f>
        <x:v>73.3</x:v>
      </x:c>
      <x:c r="R60" s="27" t="n">
        <x:f>IF('迁盟总表'!Y60="","",'迁盟总表'!Y60)</x:f>
        <x:v>136</x:v>
      </x:c>
      <x:c r="S60" s="55" t="str">
        <x:f>IF('迁盟总表'!Z60="","",'迁盟总表'!Z60)</x:f>
        <x:v>保留兰亭战斗骨干</x:v>
      </x:c>
    </x:row>
    <x:row r="61" ht="20" customHeight="1">
      <x:c r="A61" s="26" t="str">
        <x:f>IF('迁盟总表'!B61="","",'迁盟总表'!B61)</x:f>
        <x:v>蒲公英的归宿</x:v>
      </x:c>
      <x:c r="B61" s="27" t="str">
        <x:f>IF('迁盟总表'!C61="","",'迁盟总表'!C61)</x:f>
        <x:v>兰亭</x:v>
      </x:c>
      <x:c r="C61" s="58" t="str">
        <x:f>IF('迁盟总表'!D61="","",'迁盟总表'!D61)</x:f>
        <x:v>兰亭</x:v>
      </x:c>
      <x:c r="D61" s="27" t="str">
        <x:f>IF('迁盟总表'!E61="","",'迁盟总表'!E61)</x:f>
        <x:v>留盟</x:v>
      </x:c>
      <x:c r="E61" s="40" t="n">
        <x:f>IF('迁盟总表'!Q61="","",'迁盟总表'!Q61)</x:f>
        <x:v>5368594475</x:v>
      </x:c>
      <x:c r="F61" s="40" t="n">
        <x:f>IF('迁盟总表'!R61="","",'迁盟总表'!R61)</x:f>
        <x:v>80877670</x:v>
      </x:c>
      <x:c r="G61" s="40" t="n">
        <x:f>IF('迁盟总表'!S61="","",'迁盟总表'!S61)</x:f>
        <x:v>252868013</x:v>
      </x:c>
      <x:c r="H61" s="37" t="n">
        <x:f>IF('迁盟总表'!H61="","",'迁盟总表'!H61)</x:f>
        <x:v>28.8</x:v>
      </x:c>
      <x:c r="I61" s="37" t="n">
        <x:f>IF('迁盟总表'!I61="","",'迁盟总表'!I61)</x:f>
        <x:v>28.3</x:v>
      </x:c>
      <x:c r="J61" s="40" t="n">
        <x:f>IF('迁盟总表'!J61="","",'迁盟总表'!J61)</x:f>
        <x:v>732</x:v>
      </x:c>
      <x:c r="K61" s="40" t="n">
        <x:f>IF('迁盟总表'!K61="","",'迁盟总表'!K61)</x:f>
        <x:v>884</x:v>
      </x:c>
      <x:c r="L61" s="40" t="n">
        <x:f>IF('迁盟总表'!L61="","",'迁盟总表'!L61)</x:f>
        <x:v>642</x:v>
      </x:c>
      <x:c r="M61" s="40" t="n">
        <x:f>IF('迁盟总表'!M61="","",'迁盟总表'!M61)</x:f>
        <x:v>553</x:v>
      </x:c>
      <x:c r="N61" s="40" t="n">
        <x:f>IF('迁盟总表'!N61="","",'迁盟总表'!N61)</x:f>
        <x:v>710</x:v>
      </x:c>
      <x:c r="O61" s="40" t="n">
        <x:f>IF('迁盟总表'!O61="","",'迁盟总表'!O61)</x:f>
        <x:v>711</x:v>
      </x:c>
      <x:c r="P61" s="40" t="n">
        <x:f>IF('迁盟总表'!P61="","",'迁盟总表'!P61)</x:f>
        <x:v>4232</x:v>
      </x:c>
      <x:c r="Q61" s="43" t="n">
        <x:f>IF('迁盟总表'!X61="","",'迁盟总表'!X61)</x:f>
        <x:v>73.2</x:v>
      </x:c>
      <x:c r="R61" s="27" t="n">
        <x:f>IF('迁盟总表'!Y61="","",'迁盟总表'!Y61)</x:f>
        <x:v>139</x:v>
      </x:c>
      <x:c r="S61" s="55" t="str">
        <x:f>IF('迁盟总表'!Z61="","",'迁盟总表'!Z61)</x:f>
        <x:v>保留兰亭战斗骨干</x:v>
      </x:c>
    </x:row>
    <x:row r="62" ht="20" customHeight="1">
      <x:c r="A62" s="26" t="str">
        <x:f>IF('迁盟总表'!B62="","",'迁盟总表'!B62)</x:f>
        <x:v>无情的哈啦少</x:v>
      </x:c>
      <x:c r="B62" s="27" t="str">
        <x:f>IF('迁盟总表'!C62="","",'迁盟总表'!C62)</x:f>
        <x:v>兰亭</x:v>
      </x:c>
      <x:c r="C62" s="58" t="str">
        <x:f>IF('迁盟总表'!D62="","",'迁盟总表'!D62)</x:f>
        <x:v>兰亭</x:v>
      </x:c>
      <x:c r="D62" s="27" t="str">
        <x:f>IF('迁盟总表'!E62="","",'迁盟总表'!E62)</x:f>
        <x:v>留盟</x:v>
      </x:c>
      <x:c r="E62" s="40" t="n">
        <x:f>IF('迁盟总表'!Q62="","",'迁盟总表'!Q62)</x:f>
        <x:v>5727953152</x:v>
      </x:c>
      <x:c r="F62" s="40" t="n">
        <x:f>IF('迁盟总表'!R62="","",'迁盟总表'!R62)</x:f>
        <x:v>80011922</x:v>
      </x:c>
      <x:c r="G62" s="40" t="n">
        <x:f>IF('迁盟总表'!S62="","",'迁盟总表'!S62)</x:f>
        <x:v>291471406</x:v>
      </x:c>
      <x:c r="H62" s="37" t="n">
        <x:f>IF('迁盟总表'!H62="","",'迁盟总表'!H62)</x:f>
        <x:v>25.1</x:v>
      </x:c>
      <x:c r="I62" s="37" t="n">
        <x:f>IF('迁盟总表'!I62="","",'迁盟总表'!I62)</x:f>
        <x:v>25.1</x:v>
      </x:c>
      <x:c r="J62" s="40" t="n">
        <x:f>IF('迁盟总表'!J62="","",'迁盟总表'!J62)</x:f>
        <x:v>600</x:v>
      </x:c>
      <x:c r="K62" s="40" t="n">
        <x:f>IF('迁盟总表'!K62="","",'迁盟总表'!K62)</x:f>
        <x:v>646</x:v>
      </x:c>
      <x:c r="L62" s="40" t="n">
        <x:f>IF('迁盟总表'!L62="","",'迁盟总表'!L62)</x:f>
        <x:v>579</x:v>
      </x:c>
      <x:c r="M62" s="40" t="n">
        <x:f>IF('迁盟总表'!M62="","",'迁盟总表'!M62)</x:f>
        <x:v>503</x:v>
      </x:c>
      <x:c r="N62" s="40" t="n">
        <x:f>IF('迁盟总表'!N62="","",'迁盟总表'!N62)</x:f>
        <x:v>603</x:v>
      </x:c>
      <x:c r="O62" s="40" t="n">
        <x:f>IF('迁盟总表'!O62="","",'迁盟总表'!O62)</x:f>
        <x:v>579</x:v>
      </x:c>
      <x:c r="P62" s="40" t="n">
        <x:f>IF('迁盟总表'!P62="","",'迁盟总表'!P62)</x:f>
        <x:v>3510</x:v>
      </x:c>
      <x:c r="Q62" s="43" t="n">
        <x:f>IF('迁盟总表'!X62="","",'迁盟总表'!X62)</x:f>
        <x:v>73.1</x:v>
      </x:c>
      <x:c r="R62" s="27" t="n">
        <x:f>IF('迁盟总表'!Y62="","",'迁盟总表'!Y62)</x:f>
        <x:v>141</x:v>
      </x:c>
      <x:c r="S62" s="55" t="str">
        <x:f>IF('迁盟总表'!Z62="","",'迁盟总表'!Z62)</x:f>
        <x:v>保留兰亭战斗骨干</x:v>
      </x:c>
    </x:row>
    <x:row r="63" ht="20" customHeight="1">
      <x:c r="A63" s="26" t="str">
        <x:f>IF('迁盟总表'!B63="","",'迁盟总表'!B63)</x:f>
        <x:v>天下式</x:v>
      </x:c>
      <x:c r="B63" s="27" t="str">
        <x:f>IF('迁盟总表'!C63="","",'迁盟总表'!C63)</x:f>
        <x:v>兰亭</x:v>
      </x:c>
      <x:c r="C63" s="58" t="str">
        <x:f>IF('迁盟总表'!D63="","",'迁盟总表'!D63)</x:f>
        <x:v>兰亭</x:v>
      </x:c>
      <x:c r="D63" s="27" t="str">
        <x:f>IF('迁盟总表'!E63="","",'迁盟总表'!E63)</x:f>
        <x:v>留盟</x:v>
      </x:c>
      <x:c r="E63" s="40" t="n">
        <x:f>IF('迁盟总表'!Q63="","",'迁盟总表'!Q63)</x:f>
        <x:v>3223962053</x:v>
      </x:c>
      <x:c r="F63" s="40" t="n">
        <x:f>IF('迁盟总表'!R63="","",'迁盟总表'!R63)</x:f>
        <x:v>79539330</x:v>
      </x:c>
      <x:c r="G63" s="40" t="n">
        <x:f>IF('迁盟总表'!S63="","",'迁盟总表'!S63)</x:f>
        <x:v>262635096</x:v>
      </x:c>
      <x:c r="H63" s="37" t="str">
        <x:f>IF('迁盟总表'!H63="","",'迁盟总表'!H63)</x:f>
      </x:c>
      <x:c r="I63" s="37" t="str">
        <x:f>IF('迁盟总表'!I63="","",'迁盟总表'!I63)</x:f>
      </x:c>
      <x:c r="J63" s="40" t="str">
        <x:f>IF('迁盟总表'!J63="","",'迁盟总表'!J63)</x:f>
      </x:c>
      <x:c r="K63" s="40" t="str">
        <x:f>IF('迁盟总表'!K63="","",'迁盟总表'!K63)</x:f>
      </x:c>
      <x:c r="L63" s="40" t="str">
        <x:f>IF('迁盟总表'!L63="","",'迁盟总表'!L63)</x:f>
      </x:c>
      <x:c r="M63" s="40" t="str">
        <x:f>IF('迁盟总表'!M63="","",'迁盟总表'!M63)</x:f>
      </x:c>
      <x:c r="N63" s="40" t="str">
        <x:f>IF('迁盟总表'!N63="","",'迁盟总表'!N63)</x:f>
      </x:c>
      <x:c r="O63" s="40" t="str">
        <x:f>IF('迁盟总表'!O63="","",'迁盟总表'!O63)</x:f>
      </x:c>
      <x:c r="P63" s="40" t="str">
        <x:f>IF('迁盟总表'!P63="","",'迁盟总表'!P63)</x:f>
      </x:c>
      <x:c r="Q63" s="43" t="n">
        <x:f>IF('迁盟总表'!X63="","",'迁盟总表'!X63)</x:f>
        <x:v>73</x:v>
      </x:c>
      <x:c r="R63" s="27" t="n">
        <x:f>IF('迁盟总表'!Y63="","",'迁盟总表'!Y63)</x:f>
        <x:v>145</x:v>
      </x:c>
      <x:c r="S63" s="55" t="str">
        <x:f>IF('迁盟总表'!Z63="","",'迁盟总表'!Z63)</x:f>
        <x:v>保留兰亭战斗骨干</x:v>
      </x:c>
    </x:row>
    <x:row r="64" ht="20" customHeight="1">
      <x:c r="A64" s="26" t="str">
        <x:f>IF('迁盟总表'!B64="","",'迁盟总表'!B64)</x:f>
        <x:v>虎虎生威</x:v>
      </x:c>
      <x:c r="B64" s="27" t="str">
        <x:f>IF('迁盟总表'!C64="","",'迁盟总表'!C64)</x:f>
        <x:v>兰亭</x:v>
      </x:c>
      <x:c r="C64" s="58" t="str">
        <x:f>IF('迁盟总表'!D64="","",'迁盟总表'!D64)</x:f>
        <x:v>兰亭</x:v>
      </x:c>
      <x:c r="D64" s="27" t="str">
        <x:f>IF('迁盟总表'!E64="","",'迁盟总表'!E64)</x:f>
        <x:v>留盟</x:v>
      </x:c>
      <x:c r="E64" s="40" t="n">
        <x:f>IF('迁盟总表'!Q64="","",'迁盟总表'!Q64)</x:f>
        <x:v>6308228478</x:v>
      </x:c>
      <x:c r="F64" s="40" t="n">
        <x:f>IF('迁盟总表'!R64="","",'迁盟总表'!R64)</x:f>
        <x:v>75641081</x:v>
      </x:c>
      <x:c r="G64" s="40" t="n">
        <x:f>IF('迁盟总表'!S64="","",'迁盟总表'!S64)</x:f>
        <x:v>256905621</x:v>
      </x:c>
      <x:c r="H64" s="37" t="str">
        <x:f>IF('迁盟总表'!H64="","",'迁盟总表'!H64)</x:f>
      </x:c>
      <x:c r="I64" s="37" t="str">
        <x:f>IF('迁盟总表'!I64="","",'迁盟总表'!I64)</x:f>
      </x:c>
      <x:c r="J64" s="40" t="str">
        <x:f>IF('迁盟总表'!J64="","",'迁盟总表'!J64)</x:f>
      </x:c>
      <x:c r="K64" s="40" t="str">
        <x:f>IF('迁盟总表'!K64="","",'迁盟总表'!K64)</x:f>
      </x:c>
      <x:c r="L64" s="40" t="str">
        <x:f>IF('迁盟总表'!L64="","",'迁盟总表'!L64)</x:f>
      </x:c>
      <x:c r="M64" s="40" t="str">
        <x:f>IF('迁盟总表'!M64="","",'迁盟总表'!M64)</x:f>
      </x:c>
      <x:c r="N64" s="40" t="str">
        <x:f>IF('迁盟总表'!N64="","",'迁盟总表'!N64)</x:f>
      </x:c>
      <x:c r="O64" s="40" t="str">
        <x:f>IF('迁盟总表'!O64="","",'迁盟总表'!O64)</x:f>
      </x:c>
      <x:c r="P64" s="40" t="str">
        <x:f>IF('迁盟总表'!P64="","",'迁盟总表'!P64)</x:f>
      </x:c>
      <x:c r="Q64" s="43" t="n">
        <x:f>IF('迁盟总表'!X64="","",'迁盟总表'!X64)</x:f>
        <x:v>73</x:v>
      </x:c>
      <x:c r="R64" s="27" t="n">
        <x:f>IF('迁盟总表'!Y64="","",'迁盟总表'!Y64)</x:f>
        <x:v>145</x:v>
      </x:c>
      <x:c r="S64" s="55" t="str">
        <x:f>IF('迁盟总表'!Z64="","",'迁盟总表'!Z64)</x:f>
        <x:v>保留兰亭战斗骨干</x:v>
      </x:c>
    </x:row>
    <x:row r="65" ht="20" customHeight="1">
      <x:c r="A65" s="26" t="str">
        <x:f>IF('迁盟总表'!B65="","",'迁盟总表'!B65)</x:f>
        <x:v>斩立决</x:v>
      </x:c>
      <x:c r="B65" s="27" t="str">
        <x:f>IF('迁盟总表'!C65="","",'迁盟总表'!C65)</x:f>
        <x:v>兰亭</x:v>
      </x:c>
      <x:c r="C65" s="58" t="str">
        <x:f>IF('迁盟总表'!D65="","",'迁盟总表'!D65)</x:f>
        <x:v>兰亭</x:v>
      </x:c>
      <x:c r="D65" s="27" t="str">
        <x:f>IF('迁盟总表'!E65="","",'迁盟总表'!E65)</x:f>
        <x:v>留盟</x:v>
      </x:c>
      <x:c r="E65" s="40" t="n">
        <x:f>IF('迁盟总表'!Q65="","",'迁盟总表'!Q65)</x:f>
        <x:v>3860391990</x:v>
      </x:c>
      <x:c r="F65" s="40" t="n">
        <x:f>IF('迁盟总表'!R65="","",'迁盟总表'!R65)</x:f>
        <x:v>83951766</x:v>
      </x:c>
      <x:c r="G65" s="40" t="n">
        <x:f>IF('迁盟总表'!S65="","",'迁盟总表'!S65)</x:f>
        <x:v>248553901</x:v>
      </x:c>
      <x:c r="H65" s="37" t="n">
        <x:f>IF('迁盟总表'!H65="","",'迁盟总表'!H65)</x:f>
        <x:v>28.2</x:v>
      </x:c>
      <x:c r="I65" s="37" t="n">
        <x:f>IF('迁盟总表'!I65="","",'迁盟总表'!I65)</x:f>
        <x:v>26.2</x:v>
      </x:c>
      <x:c r="J65" s="40" t="n">
        <x:f>IF('迁盟总表'!J65="","",'迁盟总表'!J65)</x:f>
        <x:v>685</x:v>
      </x:c>
      <x:c r="K65" s="40" t="n">
        <x:f>IF('迁盟总表'!K65="","",'迁盟总表'!K65)</x:f>
        <x:v>724</x:v>
      </x:c>
      <x:c r="L65" s="40" t="n">
        <x:f>IF('迁盟总表'!L65="","",'迁盟总表'!L65)</x:f>
        <x:v>700</x:v>
      </x:c>
      <x:c r="M65" s="40" t="n">
        <x:f>IF('迁盟总表'!M65="","",'迁盟总表'!M65)</x:f>
        <x:v>508</x:v>
      </x:c>
      <x:c r="N65" s="40" t="n">
        <x:f>IF('迁盟总表'!N65="","",'迁盟总表'!N65)</x:f>
        <x:v>731</x:v>
      </x:c>
      <x:c r="O65" s="40" t="n">
        <x:f>IF('迁盟总表'!O65="","",'迁盟总表'!O65)</x:f>
        <x:v>608</x:v>
      </x:c>
      <x:c r="P65" s="40" t="n">
        <x:f>IF('迁盟总表'!P65="","",'迁盟总表'!P65)</x:f>
        <x:v>3956</x:v>
      </x:c>
      <x:c r="Q65" s="43" t="n">
        <x:f>IF('迁盟总表'!X65="","",'迁盟总表'!X65)</x:f>
        <x:v>72.9</x:v>
      </x:c>
      <x:c r="R65" s="27" t="n">
        <x:f>IF('迁盟总表'!Y65="","",'迁盟总表'!Y65)</x:f>
        <x:v>147</x:v>
      </x:c>
      <x:c r="S65" s="55" t="str">
        <x:f>IF('迁盟总表'!Z65="","",'迁盟总表'!Z65)</x:f>
        <x:v>保留兰亭战斗骨干</x:v>
      </x:c>
    </x:row>
    <x:row r="66" ht="20" customHeight="1">
      <x:c r="A66" s="26" t="str">
        <x:f>IF('迁盟总表'!B66="","",'迁盟总表'!B66)</x:f>
        <x:v>吕氏春秋</x:v>
      </x:c>
      <x:c r="B66" s="27" t="str">
        <x:f>IF('迁盟总表'!C66="","",'迁盟总表'!C66)</x:f>
        <x:v>兰亭</x:v>
      </x:c>
      <x:c r="C66" s="58" t="str">
        <x:f>IF('迁盟总表'!D66="","",'迁盟总表'!D66)</x:f>
        <x:v>兰亭</x:v>
      </x:c>
      <x:c r="D66" s="27" t="str">
        <x:f>IF('迁盟总表'!E66="","",'迁盟总表'!E66)</x:f>
        <x:v>留盟</x:v>
      </x:c>
      <x:c r="E66" s="40" t="n">
        <x:f>IF('迁盟总表'!Q66="","",'迁盟总表'!Q66)</x:f>
        <x:v>6527535941</x:v>
      </x:c>
      <x:c r="F66" s="40" t="n">
        <x:f>IF('迁盟总表'!R66="","",'迁盟总表'!R66)</x:f>
        <x:v>78970682</x:v>
      </x:c>
      <x:c r="G66" s="40" t="n">
        <x:f>IF('迁盟总表'!S66="","",'迁盟总表'!S66)</x:f>
        <x:v>252657281</x:v>
      </x:c>
      <x:c r="H66" s="37" t="n">
        <x:f>IF('迁盟总表'!H66="","",'迁盟总表'!H66)</x:f>
        <x:v>27.3</x:v>
      </x:c>
      <x:c r="I66" s="37" t="n">
        <x:f>IF('迁盟总表'!I66="","",'迁盟总表'!I66)</x:f>
        <x:v>26.7</x:v>
      </x:c>
      <x:c r="J66" s="40" t="n">
        <x:f>IF('迁盟总表'!J66="","",'迁盟总表'!J66)</x:f>
        <x:v>674</x:v>
      </x:c>
      <x:c r="K66" s="40" t="n">
        <x:f>IF('迁盟总表'!K66="","",'迁盟总表'!K66)</x:f>
        <x:v>724</x:v>
      </x:c>
      <x:c r="L66" s="40" t="n">
        <x:f>IF('迁盟总表'!L66="","",'迁盟总表'!L66)</x:f>
        <x:v>733</x:v>
      </x:c>
      <x:c r="M66" s="40" t="n">
        <x:f>IF('迁盟总表'!M66="","",'迁盟总表'!M66)</x:f>
        <x:v>571</x:v>
      </x:c>
      <x:c r="N66" s="40" t="n">
        <x:f>IF('迁盟总表'!N66="","",'迁盟总表'!N66)</x:f>
        <x:v>726</x:v>
      </x:c>
      <x:c r="O66" s="40" t="n">
        <x:f>IF('迁盟总表'!O66="","",'迁盟总表'!O66)</x:f>
        <x:v>662</x:v>
      </x:c>
      <x:c r="P66" s="40" t="n">
        <x:f>IF('迁盟总表'!P66="","",'迁盟总表'!P66)</x:f>
        <x:v>4090</x:v>
      </x:c>
      <x:c r="Q66" s="43" t="n">
        <x:f>IF('迁盟总表'!X66="","",'迁盟总表'!X66)</x:f>
        <x:v>72.9</x:v>
      </x:c>
      <x:c r="R66" s="27" t="n">
        <x:f>IF('迁盟总表'!Y66="","",'迁盟总表'!Y66)</x:f>
        <x:v>147</x:v>
      </x:c>
      <x:c r="S66" s="55" t="str">
        <x:f>IF('迁盟总表'!Z66="","",'迁盟总表'!Z66)</x:f>
        <x:v>保留兰亭战斗骨干</x:v>
      </x:c>
    </x:row>
    <x:row r="67" ht="20" customHeight="1">
      <x:c r="A67" s="26" t="str">
        <x:f>IF('迁盟总表'!B67="","",'迁盟总表'!B67)</x:f>
        <x:v>人间草木</x:v>
      </x:c>
      <x:c r="B67" s="27" t="str">
        <x:f>IF('迁盟总表'!C67="","",'迁盟总表'!C67)</x:f>
        <x:v>兰亭</x:v>
      </x:c>
      <x:c r="C67" s="58" t="str">
        <x:f>IF('迁盟总表'!D67="","",'迁盟总表'!D67)</x:f>
        <x:v>兰亭</x:v>
      </x:c>
      <x:c r="D67" s="27" t="str">
        <x:f>IF('迁盟总表'!E67="","",'迁盟总表'!E67)</x:f>
        <x:v>留盟</x:v>
      </x:c>
      <x:c r="E67" s="40" t="n">
        <x:f>IF('迁盟总表'!Q67="","",'迁盟总表'!Q67)</x:f>
        <x:v>2904947202</x:v>
      </x:c>
      <x:c r="F67" s="40" t="n">
        <x:f>IF('迁盟总表'!R67="","",'迁盟总表'!R67)</x:f>
        <x:v>78824778</x:v>
      </x:c>
      <x:c r="G67" s="40" t="n">
        <x:f>IF('迁盟总表'!S67="","",'迁盟总表'!S67)</x:f>
        <x:v>265127282</x:v>
      </x:c>
      <x:c r="H67" s="37" t="str">
        <x:f>IF('迁盟总表'!H67="","",'迁盟总表'!H67)</x:f>
      </x:c>
      <x:c r="I67" s="37" t="str">
        <x:f>IF('迁盟总表'!I67="","",'迁盟总表'!I67)</x:f>
      </x:c>
      <x:c r="J67" s="40" t="str">
        <x:f>IF('迁盟总表'!J67="","",'迁盟总表'!J67)</x:f>
      </x:c>
      <x:c r="K67" s="40" t="str">
        <x:f>IF('迁盟总表'!K67="","",'迁盟总表'!K67)</x:f>
      </x:c>
      <x:c r="L67" s="40" t="str">
        <x:f>IF('迁盟总表'!L67="","",'迁盟总表'!L67)</x:f>
      </x:c>
      <x:c r="M67" s="40" t="str">
        <x:f>IF('迁盟总表'!M67="","",'迁盟总表'!M67)</x:f>
      </x:c>
      <x:c r="N67" s="40" t="str">
        <x:f>IF('迁盟总表'!N67="","",'迁盟总表'!N67)</x:f>
      </x:c>
      <x:c r="O67" s="40" t="str">
        <x:f>IF('迁盟总表'!O67="","",'迁盟总表'!O67)</x:f>
      </x:c>
      <x:c r="P67" s="40" t="str">
        <x:f>IF('迁盟总表'!P67="","",'迁盟总表'!P67)</x:f>
      </x:c>
      <x:c r="Q67" s="43" t="n">
        <x:f>IF('迁盟总表'!X67="","",'迁盟总表'!X67)</x:f>
        <x:v>72.7</x:v>
      </x:c>
      <x:c r="R67" s="27" t="n">
        <x:f>IF('迁盟总表'!Y67="","",'迁盟总表'!Y67)</x:f>
        <x:v>150</x:v>
      </x:c>
      <x:c r="S67" s="55" t="str">
        <x:f>IF('迁盟总表'!Z67="","",'迁盟总表'!Z67)</x:f>
        <x:v>保留兰亭战斗骨干</x:v>
      </x:c>
    </x:row>
    <x:row r="68" ht="20" customHeight="1">
      <x:c r="A68" s="26" t="str">
        <x:f>IF('迁盟总表'!B68="","",'迁盟总表'!B68)</x:f>
        <x:v>青柠檬不酸</x:v>
      </x:c>
      <x:c r="B68" s="27" t="str">
        <x:f>IF('迁盟总表'!C68="","",'迁盟总表'!C68)</x:f>
        <x:v>兰亭</x:v>
      </x:c>
      <x:c r="C68" s="58" t="str">
        <x:f>IF('迁盟总表'!D68="","",'迁盟总表'!D68)</x:f>
        <x:v>兰亭</x:v>
      </x:c>
      <x:c r="D68" s="27" t="str">
        <x:f>IF('迁盟总表'!E68="","",'迁盟总表'!E68)</x:f>
        <x:v>留盟</x:v>
      </x:c>
      <x:c r="E68" s="40" t="n">
        <x:f>IF('迁盟总表'!Q68="","",'迁盟总表'!Q68)</x:f>
        <x:v>3165024899</x:v>
      </x:c>
      <x:c r="F68" s="40" t="n">
        <x:f>IF('迁盟总表'!R68="","",'迁盟总表'!R68)</x:f>
        <x:v>82965496</x:v>
      </x:c>
      <x:c r="G68" s="40" t="n">
        <x:f>IF('迁盟总表'!S68="","",'迁盟总表'!S68)</x:f>
        <x:v>238028140</x:v>
      </x:c>
      <x:c r="H68" s="37" t="n">
        <x:f>IF('迁盟总表'!H68="","",'迁盟总表'!H68)</x:f>
        <x:v>28.8</x:v>
      </x:c>
      <x:c r="I68" s="37" t="n">
        <x:f>IF('迁盟总表'!I68="","",'迁盟总表'!I68)</x:f>
        <x:v>28.8</x:v>
      </x:c>
      <x:c r="J68" s="40" t="n">
        <x:f>IF('迁盟总表'!J68="","",'迁盟总表'!J68)</x:f>
        <x:v>777</x:v>
      </x:c>
      <x:c r="K68" s="40" t="n">
        <x:f>IF('迁盟总表'!K68="","",'迁盟总表'!K68)</x:f>
        <x:v>739</x:v>
      </x:c>
      <x:c r="L68" s="40" t="n">
        <x:f>IF('迁盟总表'!L68="","",'迁盟总表'!L68)</x:f>
        <x:v>677</x:v>
      </x:c>
      <x:c r="M68" s="40" t="n">
        <x:f>IF('迁盟总表'!M68="","",'迁盟总表'!M68)</x:f>
        <x:v>494</x:v>
      </x:c>
      <x:c r="N68" s="40" t="n">
        <x:f>IF('迁盟总表'!N68="","",'迁盟总表'!N68)</x:f>
        <x:v>734</x:v>
      </x:c>
      <x:c r="O68" s="40" t="n">
        <x:f>IF('迁盟总表'!O68="","",'迁盟总表'!O68)</x:f>
        <x:v>747</x:v>
      </x:c>
      <x:c r="P68" s="40" t="n">
        <x:f>IF('迁盟总表'!P68="","",'迁盟总表'!P68)</x:f>
        <x:v>4168</x:v>
      </x:c>
      <x:c r="Q68" s="43" t="n">
        <x:f>IF('迁盟总表'!X68="","",'迁盟总表'!X68)</x:f>
        <x:v>72.3</x:v>
      </x:c>
      <x:c r="R68" s="27" t="n">
        <x:f>IF('迁盟总表'!Y68="","",'迁盟总表'!Y68)</x:f>
        <x:v>156</x:v>
      </x:c>
      <x:c r="S68" s="55" t="str">
        <x:f>IF('迁盟总表'!Z68="","",'迁盟总表'!Z68)</x:f>
        <x:v>保留兰亭战斗骨干</x:v>
      </x:c>
    </x:row>
    <x:row r="69" ht="20" customHeight="1">
      <x:c r="A69" s="26" t="str">
        <x:f>IF('迁盟总表'!B69="","",'迁盟总表'!B69)</x:f>
        <x:v>以澄666</x:v>
      </x:c>
      <x:c r="B69" s="27" t="str">
        <x:f>IF('迁盟总表'!C69="","",'迁盟总表'!C69)</x:f>
        <x:v>兰亭</x:v>
      </x:c>
      <x:c r="C69" s="58" t="str">
        <x:f>IF('迁盟总表'!D69="","",'迁盟总表'!D69)</x:f>
        <x:v>兰亭</x:v>
      </x:c>
      <x:c r="D69" s="27" t="str">
        <x:f>IF('迁盟总表'!E69="","",'迁盟总表'!E69)</x:f>
        <x:v>留盟</x:v>
      </x:c>
      <x:c r="E69" s="40" t="n">
        <x:f>IF('迁盟总表'!Q69="","",'迁盟总表'!Q69)</x:f>
        <x:v>4423774052</x:v>
      </x:c>
      <x:c r="F69" s="40" t="n">
        <x:f>IF('迁盟总表'!R69="","",'迁盟总表'!R69)</x:f>
        <x:v>74644141</x:v>
      </x:c>
      <x:c r="G69" s="40" t="n">
        <x:f>IF('迁盟总表'!S69="","",'迁盟总表'!S69)</x:f>
        <x:v>263657557</x:v>
      </x:c>
      <x:c r="H69" s="37" t="str">
        <x:f>IF('迁盟总表'!H69="","",'迁盟总表'!H69)</x:f>
      </x:c>
      <x:c r="I69" s="37" t="str">
        <x:f>IF('迁盟总表'!I69="","",'迁盟总表'!I69)</x:f>
      </x:c>
      <x:c r="J69" s="40" t="str">
        <x:f>IF('迁盟总表'!J69="","",'迁盟总表'!J69)</x:f>
      </x:c>
      <x:c r="K69" s="40" t="str">
        <x:f>IF('迁盟总表'!K69="","",'迁盟总表'!K69)</x:f>
      </x:c>
      <x:c r="L69" s="40" t="str">
        <x:f>IF('迁盟总表'!L69="","",'迁盟总表'!L69)</x:f>
      </x:c>
      <x:c r="M69" s="40" t="str">
        <x:f>IF('迁盟总表'!M69="","",'迁盟总表'!M69)</x:f>
      </x:c>
      <x:c r="N69" s="40" t="str">
        <x:f>IF('迁盟总表'!N69="","",'迁盟总表'!N69)</x:f>
      </x:c>
      <x:c r="O69" s="40" t="str">
        <x:f>IF('迁盟总表'!O69="","",'迁盟总表'!O69)</x:f>
      </x:c>
      <x:c r="P69" s="40" t="str">
        <x:f>IF('迁盟总表'!P69="","",'迁盟总表'!P69)</x:f>
      </x:c>
      <x:c r="Q69" s="43" t="n">
        <x:f>IF('迁盟总表'!X69="","",'迁盟总表'!X69)</x:f>
        <x:v>72.2</x:v>
      </x:c>
      <x:c r="R69" s="27" t="n">
        <x:f>IF('迁盟总表'!Y69="","",'迁盟总表'!Y69)</x:f>
        <x:v>158</x:v>
      </x:c>
      <x:c r="S69" s="55" t="str">
        <x:f>IF('迁盟总表'!Z69="","",'迁盟总表'!Z69)</x:f>
        <x:v>保留兰亭战斗骨干</x:v>
      </x:c>
    </x:row>
    <x:row r="70" ht="20" customHeight="1">
      <x:c r="A70" s="26" t="str">
        <x:f>IF('迁盟总表'!B70="","",'迁盟总表'!B70)</x:f>
        <x:v>茶茶呀</x:v>
      </x:c>
      <x:c r="B70" s="27" t="str">
        <x:f>IF('迁盟总表'!C70="","",'迁盟总表'!C70)</x:f>
        <x:v>兰亭</x:v>
      </x:c>
      <x:c r="C70" s="58" t="str">
        <x:f>IF('迁盟总表'!D70="","",'迁盟总表'!D70)</x:f>
        <x:v>兰亭</x:v>
      </x:c>
      <x:c r="D70" s="27" t="str">
        <x:f>IF('迁盟总表'!E70="","",'迁盟总表'!E70)</x:f>
        <x:v>留盟</x:v>
      </x:c>
      <x:c r="E70" s="40" t="n">
        <x:f>IF('迁盟总表'!Q70="","",'迁盟总表'!Q70)</x:f>
        <x:v>418495710</x:v>
      </x:c>
      <x:c r="F70" s="40" t="n">
        <x:f>IF('迁盟总表'!R70="","",'迁盟总表'!R70)</x:f>
        <x:v>89349811</x:v>
      </x:c>
      <x:c r="G70" s="40" t="n">
        <x:f>IF('迁盟总表'!S70="","",'迁盟总表'!S70)</x:f>
        <x:v>284611651</x:v>
      </x:c>
      <x:c r="H70" s="37" t="n">
        <x:f>IF('迁盟总表'!H70="","",'迁盟总表'!H70)</x:f>
        <x:v>27.8</x:v>
      </x:c>
      <x:c r="I70" s="37" t="n">
        <x:f>IF('迁盟总表'!I70="","",'迁盟总表'!I70)</x:f>
        <x:v>27.8</x:v>
      </x:c>
      <x:c r="J70" s="40" t="n">
        <x:f>IF('迁盟总表'!J70="","",'迁盟总表'!J70)</x:f>
        <x:v>779</x:v>
      </x:c>
      <x:c r="K70" s="40" t="n">
        <x:f>IF('迁盟总表'!K70="","",'迁盟总表'!K70)</x:f>
        <x:v>782</x:v>
      </x:c>
      <x:c r="L70" s="40" t="n">
        <x:f>IF('迁盟总表'!L70="","",'迁盟总表'!L70)</x:f>
        <x:v>710</x:v>
      </x:c>
      <x:c r="M70" s="40" t="n">
        <x:f>IF('迁盟总表'!M70="","",'迁盟总表'!M70)</x:f>
        <x:v>601</x:v>
      </x:c>
      <x:c r="N70" s="40" t="n">
        <x:f>IF('迁盟总表'!N70="","",'迁盟总表'!N70)</x:f>
        <x:v>783</x:v>
      </x:c>
      <x:c r="O70" s="40" t="n">
        <x:f>IF('迁盟总表'!O70="","",'迁盟总表'!O70)</x:f>
        <x:v>696</x:v>
      </x:c>
      <x:c r="P70" s="40" t="n">
        <x:f>IF('迁盟总表'!P70="","",'迁盟总表'!P70)</x:f>
        <x:v>4351</x:v>
      </x:c>
      <x:c r="Q70" s="43" t="n">
        <x:f>IF('迁盟总表'!X70="","",'迁盟总表'!X70)</x:f>
        <x:v>72.2</x:v>
      </x:c>
      <x:c r="R70" s="27" t="n">
        <x:f>IF('迁盟总表'!Y70="","",'迁盟总表'!Y70)</x:f>
        <x:v>158</x:v>
      </x:c>
      <x:c r="S70" s="55" t="str">
        <x:f>IF('迁盟总表'!Z70="","",'迁盟总表'!Z70)</x:f>
        <x:v>保留兰亭战斗骨干</x:v>
      </x:c>
    </x:row>
    <x:row r="71" ht="20" customHeight="1">
      <x:c r="A71" s="26" t="str">
        <x:f>IF('迁盟总表'!B71="","",'迁盟总表'!B71)</x:f>
        <x:v>沐月听风</x:v>
      </x:c>
      <x:c r="B71" s="27" t="str">
        <x:f>IF('迁盟总表'!C71="","",'迁盟总表'!C71)</x:f>
        <x:v>兰亭</x:v>
      </x:c>
      <x:c r="C71" s="58" t="str">
        <x:f>IF('迁盟总表'!D71="","",'迁盟总表'!D71)</x:f>
        <x:v>兰亭</x:v>
      </x:c>
      <x:c r="D71" s="27" t="str">
        <x:f>IF('迁盟总表'!E71="","",'迁盟总表'!E71)</x:f>
        <x:v>留盟</x:v>
      </x:c>
      <x:c r="E71" s="40" t="n">
        <x:f>IF('迁盟总表'!Q71="","",'迁盟总表'!Q71)</x:f>
        <x:v>1904791520</x:v>
      </x:c>
      <x:c r="F71" s="40" t="n">
        <x:f>IF('迁盟总表'!R71="","",'迁盟总表'!R71)</x:f>
        <x:v>80584240</x:v>
      </x:c>
      <x:c r="G71" s="40" t="n">
        <x:f>IF('迁盟总表'!S71="","",'迁盟总表'!S71)</x:f>
        <x:v>254736455</x:v>
      </x:c>
      <x:c r="H71" s="37" t="str">
        <x:f>IF('迁盟总表'!H71="","",'迁盟总表'!H71)</x:f>
      </x:c>
      <x:c r="I71" s="37" t="str">
        <x:f>IF('迁盟总表'!I71="","",'迁盟总表'!I71)</x:f>
      </x:c>
      <x:c r="J71" s="40" t="str">
        <x:f>IF('迁盟总表'!J71="","",'迁盟总表'!J71)</x:f>
      </x:c>
      <x:c r="K71" s="40" t="str">
        <x:f>IF('迁盟总表'!K71="","",'迁盟总表'!K71)</x:f>
      </x:c>
      <x:c r="L71" s="40" t="str">
        <x:f>IF('迁盟总表'!L71="","",'迁盟总表'!L71)</x:f>
      </x:c>
      <x:c r="M71" s="40" t="str">
        <x:f>IF('迁盟总表'!M71="","",'迁盟总表'!M71)</x:f>
      </x:c>
      <x:c r="N71" s="40" t="str">
        <x:f>IF('迁盟总表'!N71="","",'迁盟总表'!N71)</x:f>
      </x:c>
      <x:c r="O71" s="40" t="str">
        <x:f>IF('迁盟总表'!O71="","",'迁盟总表'!O71)</x:f>
      </x:c>
      <x:c r="P71" s="40" t="str">
        <x:f>IF('迁盟总表'!P71="","",'迁盟总表'!P71)</x:f>
      </x:c>
      <x:c r="Q71" s="43" t="n">
        <x:f>IF('迁盟总表'!X71="","",'迁盟总表'!X71)</x:f>
        <x:v>72</x:v>
      </x:c>
      <x:c r="R71" s="27" t="n">
        <x:f>IF('迁盟总表'!Y71="","",'迁盟总表'!Y71)</x:f>
        <x:v>164</x:v>
      </x:c>
      <x:c r="S71" s="55" t="str">
        <x:f>IF('迁盟总表'!Z71="","",'迁盟总表'!Z71)</x:f>
        <x:v>保留兰亭战斗骨干</x:v>
      </x:c>
    </x:row>
    <x:row r="72" ht="20" customHeight="1">
      <x:c r="A72" s="26" t="str">
        <x:f>IF('迁盟总表'!B72="","",'迁盟总表'!B72)</x:f>
        <x:v>成都奥园岑老师</x:v>
      </x:c>
      <x:c r="B72" s="27" t="str">
        <x:f>IF('迁盟总表'!C72="","",'迁盟总表'!C72)</x:f>
        <x:v>兰亭</x:v>
      </x:c>
      <x:c r="C72" s="58" t="str">
        <x:f>IF('迁盟总表'!D72="","",'迁盟总表'!D72)</x:f>
        <x:v>兰亭</x:v>
      </x:c>
      <x:c r="D72" s="27" t="str">
        <x:f>IF('迁盟总表'!E72="","",'迁盟总表'!E72)</x:f>
        <x:v>留盟</x:v>
      </x:c>
      <x:c r="E72" s="40" t="n">
        <x:f>IF('迁盟总表'!Q72="","",'迁盟总表'!Q72)</x:f>
        <x:v>4543565048</x:v>
      </x:c>
      <x:c r="F72" s="40" t="n">
        <x:f>IF('迁盟总表'!R72="","",'迁盟总表'!R72)</x:f>
        <x:v>78795031</x:v>
      </x:c>
      <x:c r="G72" s="40" t="n">
        <x:f>IF('迁盟总表'!S72="","",'迁盟总表'!S72)</x:f>
        <x:v>219362016</x:v>
      </x:c>
      <x:c r="H72" s="37" t="str">
        <x:f>IF('迁盟总表'!H72="","",'迁盟总表'!H72)</x:f>
      </x:c>
      <x:c r="I72" s="37" t="str">
        <x:f>IF('迁盟总表'!I72="","",'迁盟总表'!I72)</x:f>
      </x:c>
      <x:c r="J72" s="40" t="str">
        <x:f>IF('迁盟总表'!J72="","",'迁盟总表'!J72)</x:f>
      </x:c>
      <x:c r="K72" s="40" t="str">
        <x:f>IF('迁盟总表'!K72="","",'迁盟总表'!K72)</x:f>
      </x:c>
      <x:c r="L72" s="40" t="str">
        <x:f>IF('迁盟总表'!L72="","",'迁盟总表'!L72)</x:f>
      </x:c>
      <x:c r="M72" s="40" t="str">
        <x:f>IF('迁盟总表'!M72="","",'迁盟总表'!M72)</x:f>
      </x:c>
      <x:c r="N72" s="40" t="str">
        <x:f>IF('迁盟总表'!N72="","",'迁盟总表'!N72)</x:f>
      </x:c>
      <x:c r="O72" s="40" t="str">
        <x:f>IF('迁盟总表'!O72="","",'迁盟总表'!O72)</x:f>
      </x:c>
      <x:c r="P72" s="40" t="str">
        <x:f>IF('迁盟总表'!P72="","",'迁盟总表'!P72)</x:f>
      </x:c>
      <x:c r="Q72" s="43" t="n">
        <x:f>IF('迁盟总表'!X72="","",'迁盟总表'!X72)</x:f>
        <x:v>72</x:v>
      </x:c>
      <x:c r="R72" s="27" t="n">
        <x:f>IF('迁盟总表'!Y72="","",'迁盟总表'!Y72)</x:f>
        <x:v>164</x:v>
      </x:c>
      <x:c r="S72" s="55" t="str">
        <x:f>IF('迁盟总表'!Z72="","",'迁盟总表'!Z72)</x:f>
        <x:v>保留兰亭战斗骨干</x:v>
      </x:c>
    </x:row>
    <x:row r="73" ht="20" customHeight="1">
      <x:c r="A73" s="26" t="str">
        <x:f>IF('迁盟总表'!B73="","",'迁盟总表'!B73)</x:f>
        <x:v>梦中有你</x:v>
      </x:c>
      <x:c r="B73" s="27" t="str">
        <x:f>IF('迁盟总表'!C73="","",'迁盟总表'!C73)</x:f>
        <x:v>兰亭</x:v>
      </x:c>
      <x:c r="C73" s="58" t="str">
        <x:f>IF('迁盟总表'!D73="","",'迁盟总表'!D73)</x:f>
        <x:v>兰亭</x:v>
      </x:c>
      <x:c r="D73" s="27" t="str">
        <x:f>IF('迁盟总表'!E73="","",'迁盟总表'!E73)</x:f>
        <x:v>留盟</x:v>
      </x:c>
      <x:c r="E73" s="40" t="n">
        <x:f>IF('迁盟总表'!Q73="","",'迁盟总表'!Q73)</x:f>
        <x:v>5149354801</x:v>
      </x:c>
      <x:c r="F73" s="40" t="n">
        <x:f>IF('迁盟总表'!R73="","",'迁盟总表'!R73)</x:f>
        <x:v>79061189</x:v>
      </x:c>
      <x:c r="G73" s="40" t="n">
        <x:f>IF('迁盟总表'!S73="","",'迁盟总表'!S73)</x:f>
        <x:v>256050619</x:v>
      </x:c>
      <x:c r="H73" s="37" t="n">
        <x:f>IF('迁盟总表'!H73="","",'迁盟总表'!H73)</x:f>
        <x:v>28.2</x:v>
      </x:c>
      <x:c r="I73" s="37" t="n">
        <x:f>IF('迁盟总表'!I73="","",'迁盟总表'!I73)</x:f>
        <x:v>28.2</x:v>
      </x:c>
      <x:c r="J73" s="40" t="n">
        <x:f>IF('迁盟总表'!J73="","",'迁盟总表'!J73)</x:f>
        <x:v>696</x:v>
      </x:c>
      <x:c r="K73" s="40" t="n">
        <x:f>IF('迁盟总表'!K73="","",'迁盟总表'!K73)</x:f>
        <x:v>657</x:v>
      </x:c>
      <x:c r="L73" s="40" t="n">
        <x:f>IF('迁盟总表'!L73="","",'迁盟总表'!L73)</x:f>
        <x:v>615</x:v>
      </x:c>
      <x:c r="M73" s="40" t="n">
        <x:f>IF('迁盟总表'!M73="","",'迁盟总表'!M73)</x:f>
        <x:v>480</x:v>
      </x:c>
      <x:c r="N73" s="40" t="n">
        <x:f>IF('迁盟总表'!N73="","",'迁盟总表'!N73)</x:f>
        <x:v>686</x:v>
      </x:c>
      <x:c r="O73" s="40" t="n">
        <x:f>IF('迁盟总表'!O73="","",'迁盟总表'!O73)</x:f>
        <x:v>586</x:v>
      </x:c>
      <x:c r="P73" s="40" t="n">
        <x:f>IF('迁盟总表'!P73="","",'迁盟总表'!P73)</x:f>
        <x:v>3720</x:v>
      </x:c>
      <x:c r="Q73" s="43" t="n">
        <x:f>IF('迁盟总表'!X73="","",'迁盟总表'!X73)</x:f>
        <x:v>72</x:v>
      </x:c>
      <x:c r="R73" s="27" t="n">
        <x:f>IF('迁盟总表'!Y73="","",'迁盟总表'!Y73)</x:f>
        <x:v>164</x:v>
      </x:c>
      <x:c r="S73" s="55" t="str">
        <x:f>IF('迁盟总表'!Z73="","",'迁盟总表'!Z73)</x:f>
        <x:v>保留兰亭战斗骨干</x:v>
      </x:c>
    </x:row>
    <x:row r="74" ht="20" customHeight="1">
      <x:c r="A74" s="26" t="str">
        <x:f>IF('迁盟总表'!B74="","",'迁盟总表'!B74)</x:f>
        <x:v>南宫婉</x:v>
      </x:c>
      <x:c r="B74" s="27" t="str">
        <x:f>IF('迁盟总表'!C74="","",'迁盟总表'!C74)</x:f>
        <x:v>兰亭</x:v>
      </x:c>
      <x:c r="C74" s="58" t="str">
        <x:f>IF('迁盟总表'!D74="","",'迁盟总表'!D74)</x:f>
        <x:v>兰亭</x:v>
      </x:c>
      <x:c r="D74" s="27" t="str">
        <x:f>IF('迁盟总表'!E74="","",'迁盟总表'!E74)</x:f>
        <x:v>留盟</x:v>
      </x:c>
      <x:c r="E74" s="40" t="n">
        <x:f>IF('迁盟总表'!Q74="","",'迁盟总表'!Q74)</x:f>
        <x:v>4633055969</x:v>
      </x:c>
      <x:c r="F74" s="40" t="n">
        <x:f>IF('迁盟总表'!R74="","",'迁盟总表'!R74)</x:f>
        <x:v>79358335</x:v>
      </x:c>
      <x:c r="G74" s="40" t="n">
        <x:f>IF('迁盟总表'!S74="","",'迁盟总表'!S74)</x:f>
        <x:v>236919236</x:v>
      </x:c>
      <x:c r="H74" s="37" t="n">
        <x:f>IF('迁盟总表'!H74="","",'迁盟总表'!H74)</x:f>
        <x:v>26.3</x:v>
      </x:c>
      <x:c r="I74" s="37" t="n">
        <x:f>IF('迁盟总表'!I74="","",'迁盟总表'!I74)</x:f>
        <x:v>22.5</x:v>
      </x:c>
      <x:c r="J74" s="40" t="n">
        <x:f>IF('迁盟总表'!J74="","",'迁盟总表'!J74)</x:f>
        <x:v>660</x:v>
      </x:c>
      <x:c r="K74" s="40" t="n">
        <x:f>IF('迁盟总表'!K74="","",'迁盟总表'!K74)</x:f>
        <x:v>632</x:v>
      </x:c>
      <x:c r="L74" s="40" t="n">
        <x:f>IF('迁盟总表'!L74="","",'迁盟总表'!L74)</x:f>
        <x:v>598</x:v>
      </x:c>
      <x:c r="M74" s="40" t="n">
        <x:f>IF('迁盟总表'!M74="","",'迁盟总表'!M74)</x:f>
        <x:v>478</x:v>
      </x:c>
      <x:c r="N74" s="40" t="n">
        <x:f>IF('迁盟总表'!N74="","",'迁盟总表'!N74)</x:f>
        <x:v>764</x:v>
      </x:c>
      <x:c r="O74" s="40" t="n">
        <x:f>IF('迁盟总表'!O74="","",'迁盟总表'!O74)</x:f>
        <x:v>734</x:v>
      </x:c>
      <x:c r="P74" s="40" t="n">
        <x:f>IF('迁盟总表'!P74="","",'迁盟总表'!P74)</x:f>
        <x:v>3866</x:v>
      </x:c>
      <x:c r="Q74" s="43" t="n">
        <x:f>IF('迁盟总表'!X74="","",'迁盟总表'!X74)</x:f>
        <x:v>71.6</x:v>
      </x:c>
      <x:c r="R74" s="27" t="n">
        <x:f>IF('迁盟总表'!Y74="","",'迁盟总表'!Y74)</x:f>
        <x:v>174</x:v>
      </x:c>
      <x:c r="S74" s="55" t="str">
        <x:f>IF('迁盟总表'!Z74="","",'迁盟总表'!Z74)</x:f>
        <x:v>保留兰亭战斗骨干</x:v>
      </x:c>
    </x:row>
    <x:row r="75" ht="20" customHeight="1">
      <x:c r="A75" s="26" t="str">
        <x:f>IF('迁盟总表'!B75="","",'迁盟总表'!B75)</x:f>
        <x:v>我是谁123</x:v>
      </x:c>
      <x:c r="B75" s="27" t="str">
        <x:f>IF('迁盟总表'!C75="","",'迁盟总表'!C75)</x:f>
        <x:v>兰亭</x:v>
      </x:c>
      <x:c r="C75" s="58" t="str">
        <x:f>IF('迁盟总表'!D75="","",'迁盟总表'!D75)</x:f>
        <x:v>兰亭</x:v>
      </x:c>
      <x:c r="D75" s="27" t="str">
        <x:f>IF('迁盟总表'!E75="","",'迁盟总表'!E75)</x:f>
        <x:v>留盟</x:v>
      </x:c>
      <x:c r="E75" s="40" t="n">
        <x:f>IF('迁盟总表'!Q75="","",'迁盟总表'!Q75)</x:f>
        <x:v>4124147351</x:v>
      </x:c>
      <x:c r="F75" s="40" t="n">
        <x:f>IF('迁盟总表'!R75="","",'迁盟总表'!R75)</x:f>
        <x:v>73994058</x:v>
      </x:c>
      <x:c r="G75" s="40" t="n">
        <x:f>IF('迁盟总表'!S75="","",'迁盟总表'!S75)</x:f>
        <x:v>251117904</x:v>
      </x:c>
      <x:c r="H75" s="37" t="str">
        <x:f>IF('迁盟总表'!H75="","",'迁盟总表'!H75)</x:f>
      </x:c>
      <x:c r="I75" s="37" t="str">
        <x:f>IF('迁盟总表'!I75="","",'迁盟总表'!I75)</x:f>
      </x:c>
      <x:c r="J75" s="40" t="str">
        <x:f>IF('迁盟总表'!J75="","",'迁盟总表'!J75)</x:f>
      </x:c>
      <x:c r="K75" s="40" t="str">
        <x:f>IF('迁盟总表'!K75="","",'迁盟总表'!K75)</x:f>
      </x:c>
      <x:c r="L75" s="40" t="str">
        <x:f>IF('迁盟总表'!L75="","",'迁盟总表'!L75)</x:f>
      </x:c>
      <x:c r="M75" s="40" t="str">
        <x:f>IF('迁盟总表'!M75="","",'迁盟总表'!M75)</x:f>
      </x:c>
      <x:c r="N75" s="40" t="str">
        <x:f>IF('迁盟总表'!N75="","",'迁盟总表'!N75)</x:f>
      </x:c>
      <x:c r="O75" s="40" t="str">
        <x:f>IF('迁盟总表'!O75="","",'迁盟总表'!O75)</x:f>
      </x:c>
      <x:c r="P75" s="40" t="str">
        <x:f>IF('迁盟总表'!P75="","",'迁盟总表'!P75)</x:f>
      </x:c>
      <x:c r="Q75" s="43" t="n">
        <x:f>IF('迁盟总表'!X75="","",'迁盟总表'!X75)</x:f>
        <x:v>71.5</x:v>
      </x:c>
      <x:c r="R75" s="27" t="n">
        <x:f>IF('迁盟总表'!Y75="","",'迁盟总表'!Y75)</x:f>
        <x:v>177</x:v>
      </x:c>
      <x:c r="S75" s="55" t="str">
        <x:f>IF('迁盟总表'!Z75="","",'迁盟总表'!Z75)</x:f>
        <x:v>保留兰亭战斗骨干</x:v>
      </x:c>
    </x:row>
    <x:row r="76" ht="20" customHeight="1">
      <x:c r="A76" s="26" t="str">
        <x:f>IF('迁盟总表'!B76="","",'迁盟总表'!B76)</x:f>
        <x:v>闷骚的文海</x:v>
      </x:c>
      <x:c r="B76" s="27" t="str">
        <x:f>IF('迁盟总表'!C76="","",'迁盟总表'!C76)</x:f>
        <x:v>兰亭</x:v>
      </x:c>
      <x:c r="C76" s="58" t="str">
        <x:f>IF('迁盟总表'!D76="","",'迁盟总表'!D76)</x:f>
        <x:v>兰亭</x:v>
      </x:c>
      <x:c r="D76" s="27" t="str">
        <x:f>IF('迁盟总表'!E76="","",'迁盟总表'!E76)</x:f>
        <x:v>留盟</x:v>
      </x:c>
      <x:c r="E76" s="40" t="n">
        <x:f>IF('迁盟总表'!Q76="","",'迁盟总表'!Q76)</x:f>
        <x:v>3406426280</x:v>
      </x:c>
      <x:c r="F76" s="40" t="n">
        <x:f>IF('迁盟总表'!R76="","",'迁盟总表'!R76)</x:f>
        <x:v>74820443</x:v>
      </x:c>
      <x:c r="G76" s="40" t="n">
        <x:f>IF('迁盟总表'!S76="","",'迁盟总表'!S76)</x:f>
        <x:v>257079542</x:v>
      </x:c>
      <x:c r="H76" s="37" t="n">
        <x:f>IF('迁盟总表'!H76="","",'迁盟总表'!H76)</x:f>
        <x:v>26.7</x:v>
      </x:c>
      <x:c r="I76" s="37" t="n">
        <x:f>IF('迁盟总表'!I76="","",'迁盟总表'!I76)</x:f>
        <x:v>26.7</x:v>
      </x:c>
      <x:c r="J76" s="40" t="n">
        <x:f>IF('迁盟总表'!J76="","",'迁盟总表'!J76)</x:f>
        <x:v>755</x:v>
      </x:c>
      <x:c r="K76" s="40" t="n">
        <x:f>IF('迁盟总表'!K76="","",'迁盟总表'!K76)</x:f>
        <x:v>942</x:v>
      </x:c>
      <x:c r="L76" s="40" t="n">
        <x:f>IF('迁盟总表'!L76="","",'迁盟总表'!L76)</x:f>
        <x:v>690</x:v>
      </x:c>
      <x:c r="M76" s="40" t="n">
        <x:f>IF('迁盟总表'!M76="","",'迁盟总表'!M76)</x:f>
        <x:v>446</x:v>
      </x:c>
      <x:c r="N76" s="40" t="n">
        <x:f>IF('迁盟总表'!N76="","",'迁盟总表'!N76)</x:f>
        <x:v>791</x:v>
      </x:c>
      <x:c r="O76" s="40" t="n">
        <x:f>IF('迁盟总表'!O76="","",'迁盟总表'!O76)</x:f>
        <x:v>776</x:v>
      </x:c>
      <x:c r="P76" s="40" t="n">
        <x:f>IF('迁盟总表'!P76="","",'迁盟总表'!P76)</x:f>
        <x:v>4400</x:v>
      </x:c>
      <x:c r="Q76" s="43" t="n">
        <x:f>IF('迁盟总表'!X76="","",'迁盟总表'!X76)</x:f>
        <x:v>71.3</x:v>
      </x:c>
      <x:c r="R76" s="27" t="n">
        <x:f>IF('迁盟总表'!Y76="","",'迁盟总表'!Y76)</x:f>
        <x:v>181</x:v>
      </x:c>
      <x:c r="S76" s="55" t="str">
        <x:f>IF('迁盟总表'!Z76="","",'迁盟总表'!Z76)</x:f>
        <x:v>保留兰亭战斗骨干</x:v>
      </x:c>
    </x:row>
    <x:row r="77" ht="20" customHeight="1">
      <x:c r="A77" s="26" t="str">
        <x:f>IF('迁盟总表'!B77="","",'迁盟总表'!B77)</x:f>
        <x:v>流星殿主</x:v>
      </x:c>
      <x:c r="B77" s="27" t="str">
        <x:f>IF('迁盟总表'!C77="","",'迁盟总表'!C77)</x:f>
        <x:v>兰亭</x:v>
      </x:c>
      <x:c r="C77" s="58" t="str">
        <x:f>IF('迁盟总表'!D77="","",'迁盟总表'!D77)</x:f>
        <x:v>兰亭</x:v>
      </x:c>
      <x:c r="D77" s="27" t="str">
        <x:f>IF('迁盟总表'!E77="","",'迁盟总表'!E77)</x:f>
        <x:v>留盟</x:v>
      </x:c>
      <x:c r="E77" s="40" t="n">
        <x:f>IF('迁盟总表'!Q77="","",'迁盟总表'!Q77)</x:f>
        <x:v>4245440754</x:v>
      </x:c>
      <x:c r="F77" s="40" t="n">
        <x:f>IF('迁盟总表'!R77="","",'迁盟总表'!R77)</x:f>
        <x:v>80746125</x:v>
      </x:c>
      <x:c r="G77" s="40" t="n">
        <x:f>IF('迁盟总表'!S77="","",'迁盟总表'!S77)</x:f>
        <x:v>216941910</x:v>
      </x:c>
      <x:c r="H77" s="37" t="n">
        <x:f>IF('迁盟总表'!H77="","",'迁盟总表'!H77)</x:f>
        <x:v>28</x:v>
      </x:c>
      <x:c r="I77" s="37" t="n">
        <x:f>IF('迁盟总表'!I77="","",'迁盟总表'!I77)</x:f>
        <x:v>28</x:v>
      </x:c>
      <x:c r="J77" s="40" t="n">
        <x:f>IF('迁盟总表'!J77="","",'迁盟总表'!J77)</x:f>
        <x:v>650</x:v>
      </x:c>
      <x:c r="K77" s="40" t="n">
        <x:f>IF('迁盟总表'!K77="","",'迁盟总表'!K77)</x:f>
        <x:v>650</x:v>
      </x:c>
      <x:c r="L77" s="40" t="n">
        <x:f>IF('迁盟总表'!L77="","",'迁盟总表'!L77)</x:f>
        <x:v>600</x:v>
      </x:c>
      <x:c r="M77" s="40" t="n">
        <x:f>IF('迁盟总表'!M77="","",'迁盟总表'!M77)</x:f>
        <x:v>600</x:v>
      </x:c>
      <x:c r="N77" s="40" t="n">
        <x:f>IF('迁盟总表'!N77="","",'迁盟总表'!N77)</x:f>
        <x:v>650</x:v>
      </x:c>
      <x:c r="O77" s="40" t="n">
        <x:f>IF('迁盟总表'!O77="","",'迁盟总表'!O77)</x:f>
        <x:v>650</x:v>
      </x:c>
      <x:c r="P77" s="40" t="n">
        <x:f>IF('迁盟总表'!P77="","",'迁盟总表'!P77)</x:f>
        <x:v>3800</x:v>
      </x:c>
      <x:c r="Q77" s="43" t="n">
        <x:f>IF('迁盟总表'!X77="","",'迁盟总表'!X77)</x:f>
        <x:v>71.1</x:v>
      </x:c>
      <x:c r="R77" s="27" t="n">
        <x:f>IF('迁盟总表'!Y77="","",'迁盟总表'!Y77)</x:f>
        <x:v>186</x:v>
      </x:c>
      <x:c r="S77" s="55" t="str">
        <x:f>IF('迁盟总表'!Z77="","",'迁盟总表'!Z77)</x:f>
        <x:v>保留兰亭战斗骨干</x:v>
      </x:c>
    </x:row>
    <x:row r="78" ht="20" customHeight="1">
      <x:c r="A78" s="26" t="str">
        <x:f>IF('迁盟总表'!B78="","",'迁盟总表'!B78)</x:f>
        <x:v>云起龙骧</x:v>
      </x:c>
      <x:c r="B78" s="27" t="str">
        <x:f>IF('迁盟总表'!C78="","",'迁盟总表'!C78)</x:f>
        <x:v>兰亭</x:v>
      </x:c>
      <x:c r="C78" s="58" t="str">
        <x:f>IF('迁盟总表'!D78="","",'迁盟总表'!D78)</x:f>
        <x:v>兰亭</x:v>
      </x:c>
      <x:c r="D78" s="27" t="str">
        <x:f>IF('迁盟总表'!E78="","",'迁盟总表'!E78)</x:f>
        <x:v>留盟</x:v>
      </x:c>
      <x:c r="E78" s="40" t="n">
        <x:f>IF('迁盟总表'!Q78="","",'迁盟总表'!Q78)</x:f>
        <x:v>2192369902</x:v>
      </x:c>
      <x:c r="F78" s="40" t="n">
        <x:f>IF('迁盟总表'!R78="","",'迁盟总表'!R78)</x:f>
        <x:v>80056861</x:v>
      </x:c>
      <x:c r="G78" s="40" t="n">
        <x:f>IF('迁盟总表'!S78="","",'迁盟总表'!S78)</x:f>
        <x:v>246917760</x:v>
      </x:c>
      <x:c r="H78" s="37" t="n">
        <x:f>IF('迁盟总表'!H78="","",'迁盟总表'!H78)</x:f>
        <x:v>26.8</x:v>
      </x:c>
      <x:c r="I78" s="37" t="n">
        <x:f>IF('迁盟总表'!I78="","",'迁盟总表'!I78)</x:f>
        <x:v>26.8</x:v>
      </x:c>
      <x:c r="J78" s="40" t="n">
        <x:f>IF('迁盟总表'!J78="","",'迁盟总表'!J78)</x:f>
        <x:v>733</x:v>
      </x:c>
      <x:c r="K78" s="40" t="n">
        <x:f>IF('迁盟总表'!K78="","",'迁盟总表'!K78)</x:f>
        <x:v>644</x:v>
      </x:c>
      <x:c r="L78" s="40" t="n">
        <x:f>IF('迁盟总表'!L78="","",'迁盟总表'!L78)</x:f>
        <x:v>661</x:v>
      </x:c>
      <x:c r="M78" s="40" t="n">
        <x:f>IF('迁盟总表'!M78="","",'迁盟总表'!M78)</x:f>
        <x:v>556</x:v>
      </x:c>
      <x:c r="N78" s="40" t="n">
        <x:f>IF('迁盟总表'!N78="","",'迁盟总表'!N78)</x:f>
        <x:v>726</x:v>
      </x:c>
      <x:c r="O78" s="40" t="n">
        <x:f>IF('迁盟总表'!O78="","",'迁盟总表'!O78)</x:f>
        <x:v>602</x:v>
      </x:c>
      <x:c r="P78" s="40" t="n">
        <x:f>IF('迁盟总表'!P78="","",'迁盟总表'!P78)</x:f>
        <x:v>3922</x:v>
      </x:c>
      <x:c r="Q78" s="43" t="n">
        <x:f>IF('迁盟总表'!X78="","",'迁盟总表'!X78)</x:f>
        <x:v>70.8</x:v>
      </x:c>
      <x:c r="R78" s="27" t="n">
        <x:f>IF('迁盟总表'!Y78="","",'迁盟总表'!Y78)</x:f>
        <x:v>192</x:v>
      </x:c>
      <x:c r="S78" s="55" t="str">
        <x:f>IF('迁盟总表'!Z78="","",'迁盟总表'!Z78)</x:f>
        <x:v>保留兰亭战斗骨干</x:v>
      </x:c>
    </x:row>
    <x:row r="79" ht="20" customHeight="1">
      <x:c r="A79" s="26" t="str">
        <x:f>IF('迁盟总表'!B79="","",'迁盟总表'!B79)</x:f>
        <x:v>小曹贼</x:v>
      </x:c>
      <x:c r="B79" s="27" t="str">
        <x:f>IF('迁盟总表'!C79="","",'迁盟总表'!C79)</x:f>
        <x:v>兰亭</x:v>
      </x:c>
      <x:c r="C79" s="58" t="str">
        <x:f>IF('迁盟总表'!D79="","",'迁盟总表'!D79)</x:f>
        <x:v>兰亭</x:v>
      </x:c>
      <x:c r="D79" s="27" t="str">
        <x:f>IF('迁盟总表'!E79="","",'迁盟总表'!E79)</x:f>
        <x:v>留盟</x:v>
      </x:c>
      <x:c r="E79" s="40" t="n">
        <x:f>IF('迁盟总表'!Q79="","",'迁盟总表'!Q79)</x:f>
        <x:v>1114866846</x:v>
      </x:c>
      <x:c r="F79" s="40" t="n">
        <x:f>IF('迁盟总表'!R79="","",'迁盟总表'!R79)</x:f>
        <x:v>80696272</x:v>
      </x:c>
      <x:c r="G79" s="40" t="n">
        <x:f>IF('迁盟总表'!S79="","",'迁盟总表'!S79)</x:f>
        <x:v>256824305</x:v>
      </x:c>
      <x:c r="H79" s="37" t="n">
        <x:f>IF('迁盟总表'!H79="","",'迁盟总表'!H79)</x:f>
        <x:v>28.6</x:v>
      </x:c>
      <x:c r="I79" s="37" t="n">
        <x:f>IF('迁盟总表'!I79="","",'迁盟总表'!I79)</x:f>
        <x:v>26.6</x:v>
      </x:c>
      <x:c r="J79" s="40" t="n">
        <x:f>IF('迁盟总表'!J79="","",'迁盟总表'!J79)</x:f>
        <x:v>830</x:v>
      </x:c>
      <x:c r="K79" s="40" t="n">
        <x:f>IF('迁盟总表'!K79="","",'迁盟总表'!K79)</x:f>
        <x:v>880</x:v>
      </x:c>
      <x:c r="L79" s="40" t="n">
        <x:f>IF('迁盟总表'!L79="","",'迁盟总表'!L79)</x:f>
        <x:v>573</x:v>
      </x:c>
      <x:c r="M79" s="40" t="n">
        <x:f>IF('迁盟总表'!M79="","",'迁盟总表'!M79)</x:f>
        <x:v>485</x:v>
      </x:c>
      <x:c r="N79" s="40" t="n">
        <x:f>IF('迁盟总表'!N79="","",'迁盟总表'!N79)</x:f>
        <x:v>758</x:v>
      </x:c>
      <x:c r="O79" s="40" t="n">
        <x:f>IF('迁盟总表'!O79="","",'迁盟总表'!O79)</x:f>
        <x:v>798</x:v>
      </x:c>
      <x:c r="P79" s="40" t="n">
        <x:f>IF('迁盟总表'!P79="","",'迁盟总表'!P79)</x:f>
        <x:v>4324</x:v>
      </x:c>
      <x:c r="Q79" s="43" t="n">
        <x:f>IF('迁盟总表'!X79="","",'迁盟总表'!X79)</x:f>
        <x:v>70.8</x:v>
      </x:c>
      <x:c r="R79" s="27" t="n">
        <x:f>IF('迁盟总表'!Y79="","",'迁盟总表'!Y79)</x:f>
        <x:v>192</x:v>
      </x:c>
      <x:c r="S79" s="55" t="str">
        <x:f>IF('迁盟总表'!Z79="","",'迁盟总表'!Z79)</x:f>
        <x:v>保留兰亭战斗骨干</x:v>
      </x:c>
    </x:row>
    <x:row r="80" ht="20" customHeight="1">
      <x:c r="A80" s="26" t="str">
        <x:f>IF('迁盟总表'!B80="","",'迁盟总表'!B80)</x:f>
        <x:v>事后诸葛小坏蛋</x:v>
      </x:c>
      <x:c r="B80" s="27" t="str">
        <x:f>IF('迁盟总表'!C80="","",'迁盟总表'!C80)</x:f>
        <x:v>兰亭</x:v>
      </x:c>
      <x:c r="C80" s="58" t="str">
        <x:f>IF('迁盟总表'!D80="","",'迁盟总表'!D80)</x:f>
        <x:v>兰亭</x:v>
      </x:c>
      <x:c r="D80" s="27" t="str">
        <x:f>IF('迁盟总表'!E80="","",'迁盟总表'!E80)</x:f>
        <x:v>留盟</x:v>
      </x:c>
      <x:c r="E80" s="40" t="n">
        <x:f>IF('迁盟总表'!Q80="","",'迁盟总表'!Q80)</x:f>
        <x:v>3989387842</x:v>
      </x:c>
      <x:c r="F80" s="40" t="n">
        <x:f>IF('迁盟总表'!R80="","",'迁盟总表'!R80)</x:f>
        <x:v>75273955</x:v>
      </x:c>
      <x:c r="G80" s="40" t="n">
        <x:f>IF('迁盟总表'!S80="","",'迁盟总表'!S80)</x:f>
        <x:v>216158270</x:v>
      </x:c>
      <x:c r="H80" s="37" t="str">
        <x:f>IF('迁盟总表'!H80="","",'迁盟总表'!H80)</x:f>
      </x:c>
      <x:c r="I80" s="37" t="str">
        <x:f>IF('迁盟总表'!I80="","",'迁盟总表'!I80)</x:f>
      </x:c>
      <x:c r="J80" s="40" t="str">
        <x:f>IF('迁盟总表'!J80="","",'迁盟总表'!J80)</x:f>
      </x:c>
      <x:c r="K80" s="40" t="str">
        <x:f>IF('迁盟总表'!K80="","",'迁盟总表'!K80)</x:f>
      </x:c>
      <x:c r="L80" s="40" t="str">
        <x:f>IF('迁盟总表'!L80="","",'迁盟总表'!L80)</x:f>
      </x:c>
      <x:c r="M80" s="40" t="str">
        <x:f>IF('迁盟总表'!M80="","",'迁盟总表'!M80)</x:f>
      </x:c>
      <x:c r="N80" s="40" t="str">
        <x:f>IF('迁盟总表'!N80="","",'迁盟总表'!N80)</x:f>
      </x:c>
      <x:c r="O80" s="40" t="str">
        <x:f>IF('迁盟总表'!O80="","",'迁盟总表'!O80)</x:f>
      </x:c>
      <x:c r="P80" s="40" t="str">
        <x:f>IF('迁盟总表'!P80="","",'迁盟总表'!P80)</x:f>
      </x:c>
      <x:c r="Q80" s="43" t="n">
        <x:f>IF('迁盟总表'!X80="","",'迁盟总表'!X80)</x:f>
        <x:v>70.7</x:v>
      </x:c>
      <x:c r="R80" s="27" t="n">
        <x:f>IF('迁盟总表'!Y80="","",'迁盟总表'!Y80)</x:f>
        <x:v>195</x:v>
      </x:c>
      <x:c r="S80" s="55" t="str">
        <x:f>IF('迁盟总表'!Z80="","",'迁盟总表'!Z80)</x:f>
        <x:v>保留兰亭战斗骨干</x:v>
      </x:c>
    </x:row>
    <x:row r="81" ht="20" customHeight="1">
      <x:c r="A81" s="26" t="str">
        <x:f>IF('迁盟总表'!B81="","",'迁盟总表'!B81)</x:f>
        <x:v>初雪未央</x:v>
      </x:c>
      <x:c r="B81" s="27" t="str">
        <x:f>IF('迁盟总表'!C81="","",'迁盟总表'!C81)</x:f>
        <x:v>兰亭</x:v>
      </x:c>
      <x:c r="C81" s="58" t="str">
        <x:f>IF('迁盟总表'!D81="","",'迁盟总表'!D81)</x:f>
        <x:v>兰亭</x:v>
      </x:c>
      <x:c r="D81" s="27" t="str">
        <x:f>IF('迁盟总表'!E81="","",'迁盟总表'!E81)</x:f>
        <x:v>留盟</x:v>
      </x:c>
      <x:c r="E81" s="40" t="n">
        <x:f>IF('迁盟总表'!Q81="","",'迁盟总表'!Q81)</x:f>
        <x:v>4588162207</x:v>
      </x:c>
      <x:c r="F81" s="40" t="n">
        <x:f>IF('迁盟总表'!R81="","",'迁盟总表'!R81)</x:f>
        <x:v>77247559</x:v>
      </x:c>
      <x:c r="G81" s="40" t="n">
        <x:f>IF('迁盟总表'!S81="","",'迁盟总表'!S81)</x:f>
        <x:v>226812353</x:v>
      </x:c>
      <x:c r="H81" s="37" t="n">
        <x:f>IF('迁盟总表'!H81="","",'迁盟总表'!H81)</x:f>
        <x:v>28.8</x:v>
      </x:c>
      <x:c r="I81" s="37" t="n">
        <x:f>IF('迁盟总表'!I81="","",'迁盟总表'!I81)</x:f>
        <x:v>28.8</x:v>
      </x:c>
      <x:c r="J81" s="40" t="n">
        <x:f>IF('迁盟总表'!J81="","",'迁盟总表'!J81)</x:f>
        <x:v>701</x:v>
      </x:c>
      <x:c r="K81" s="40" t="n">
        <x:f>IF('迁盟总表'!K81="","",'迁盟总表'!K81)</x:f>
        <x:v>715</x:v>
      </x:c>
      <x:c r="L81" s="40" t="n">
        <x:f>IF('迁盟总表'!L81="","",'迁盟总表'!L81)</x:f>
        <x:v>663</x:v>
      </x:c>
      <x:c r="M81" s="40" t="n">
        <x:f>IF('迁盟总表'!M81="","",'迁盟总表'!M81)</x:f>
        <x:v>430</x:v>
      </x:c>
      <x:c r="N81" s="40" t="n">
        <x:f>IF('迁盟总表'!N81="","",'迁盟总表'!N81)</x:f>
        <x:v>661</x:v>
      </x:c>
      <x:c r="O81" s="40" t="n">
        <x:f>IF('迁盟总表'!O81="","",'迁盟总表'!O81)</x:f>
        <x:v>573</x:v>
      </x:c>
      <x:c r="P81" s="40" t="n">
        <x:f>IF('迁盟总表'!P81="","",'迁盟总表'!P81)</x:f>
        <x:v>3743</x:v>
      </x:c>
      <x:c r="Q81" s="43" t="n">
        <x:f>IF('迁盟总表'!X81="","",'迁盟总表'!X81)</x:f>
        <x:v>70.5</x:v>
      </x:c>
      <x:c r="R81" s="27" t="n">
        <x:f>IF('迁盟总表'!Y81="","",'迁盟总表'!Y81)</x:f>
        <x:v>199</x:v>
      </x:c>
      <x:c r="S81" s="55" t="str">
        <x:f>IF('迁盟总表'!Z81="","",'迁盟总表'!Z81)</x:f>
        <x:v>保留兰亭战斗骨干</x:v>
      </x:c>
    </x:row>
    <x:row r="82" ht="20" customHeight="1">
      <x:c r="A82" s="26" t="str">
        <x:f>IF('迁盟总表'!B82="","",'迁盟总表'!B82)</x:f>
        <x:v>水泽宁芙</x:v>
      </x:c>
      <x:c r="B82" s="27" t="str">
        <x:f>IF('迁盟总表'!C82="","",'迁盟总表'!C82)</x:f>
        <x:v>兰亭</x:v>
      </x:c>
      <x:c r="C82" s="58" t="str">
        <x:f>IF('迁盟总表'!D82="","",'迁盟总表'!D82)</x:f>
        <x:v>兰亭</x:v>
      </x:c>
      <x:c r="D82" s="27" t="str">
        <x:f>IF('迁盟总表'!E82="","",'迁盟总表'!E82)</x:f>
        <x:v>留盟</x:v>
      </x:c>
      <x:c r="E82" s="40" t="n">
        <x:f>IF('迁盟总表'!Q82="","",'迁盟总表'!Q82)</x:f>
        <x:v>5120881660</x:v>
      </x:c>
      <x:c r="F82" s="40" t="n">
        <x:f>IF('迁盟总表'!R82="","",'迁盟总表'!R82)</x:f>
        <x:v>76010117</x:v>
      </x:c>
      <x:c r="G82" s="40" t="n">
        <x:f>IF('迁盟总表'!S82="","",'迁盟总表'!S82)</x:f>
        <x:v>208192436</x:v>
      </x:c>
      <x:c r="H82" s="37" t="n">
        <x:f>IF('迁盟总表'!H82="","",'迁盟总表'!H82)</x:f>
        <x:v>26.3</x:v>
      </x:c>
      <x:c r="I82" s="37" t="n">
        <x:f>IF('迁盟总表'!I82="","",'迁盟总表'!I82)</x:f>
        <x:v>26.3</x:v>
      </x:c>
      <x:c r="J82" s="40" t="n">
        <x:f>IF('迁盟总表'!J82="","",'迁盟总表'!J82)</x:f>
        <x:v>634</x:v>
      </x:c>
      <x:c r="K82" s="40" t="n">
        <x:f>IF('迁盟总表'!K82="","",'迁盟总表'!K82)</x:f>
        <x:v>857</x:v>
      </x:c>
      <x:c r="L82" s="40" t="n">
        <x:f>IF('迁盟总表'!L82="","",'迁盟总表'!L82)</x:f>
        <x:v>636</x:v>
      </x:c>
      <x:c r="M82" s="40" t="n">
        <x:f>IF('迁盟总表'!M82="","",'迁盟总表'!M82)</x:f>
        <x:v>597</x:v>
      </x:c>
      <x:c r="N82" s="40" t="n">
        <x:f>IF('迁盟总表'!N82="","",'迁盟总表'!N82)</x:f>
        <x:v>714</x:v>
      </x:c>
      <x:c r="O82" s="40" t="n">
        <x:f>IF('迁盟总表'!O82="","",'迁盟总表'!O82)</x:f>
        <x:v>683</x:v>
      </x:c>
      <x:c r="P82" s="40" t="n">
        <x:f>IF('迁盟总表'!P82="","",'迁盟总表'!P82)</x:f>
        <x:v>4121</x:v>
      </x:c>
      <x:c r="Q82" s="43" t="n">
        <x:f>IF('迁盟总表'!X82="","",'迁盟总表'!X82)</x:f>
        <x:v>70.4</x:v>
      </x:c>
      <x:c r="R82" s="27" t="n">
        <x:f>IF('迁盟总表'!Y82="","",'迁盟总表'!Y82)</x:f>
        <x:v>200</x:v>
      </x:c>
      <x:c r="S82" s="55" t="str">
        <x:f>IF('迁盟总表'!Z82="","",'迁盟总表'!Z82)</x:f>
        <x:v>保留兰亭战斗骨干</x:v>
      </x:c>
    </x:row>
    <x:row r="83" ht="20" customHeight="1">
      <x:c r="A83" s="26" t="str">
        <x:f>IF('迁盟总表'!B83="","",'迁盟总表'!B83)</x:f>
        <x:v>携鹿去新疆</x:v>
      </x:c>
      <x:c r="B83" s="27" t="str">
        <x:f>IF('迁盟总表'!C83="","",'迁盟总表'!C83)</x:f>
        <x:v>兰亭</x:v>
      </x:c>
      <x:c r="C83" s="58" t="str">
        <x:f>IF('迁盟总表'!D83="","",'迁盟总表'!D83)</x:f>
        <x:v>兰亭</x:v>
      </x:c>
      <x:c r="D83" s="27" t="str">
        <x:f>IF('迁盟总表'!E83="","",'迁盟总表'!E83)</x:f>
        <x:v>留盟</x:v>
      </x:c>
      <x:c r="E83" s="40" t="n">
        <x:f>IF('迁盟总表'!Q83="","",'迁盟总表'!Q83)</x:f>
        <x:v>1969008497</x:v>
      </x:c>
      <x:c r="F83" s="40" t="n">
        <x:f>IF('迁盟总表'!R83="","",'迁盟总表'!R83)</x:f>
        <x:v>80083039</x:v>
      </x:c>
      <x:c r="G83" s="40" t="n">
        <x:f>IF('迁盟总表'!S83="","",'迁盟总表'!S83)</x:f>
        <x:v>235714640</x:v>
      </x:c>
      <x:c r="H83" s="37" t="n">
        <x:f>IF('迁盟总表'!H83="","",'迁盟总表'!H83)</x:f>
        <x:v>26.9</x:v>
      </x:c>
      <x:c r="I83" s="37" t="n">
        <x:f>IF('迁盟总表'!I83="","",'迁盟总表'!I83)</x:f>
        <x:v>26.9</x:v>
      </x:c>
      <x:c r="J83" s="40" t="n">
        <x:f>IF('迁盟总表'!J83="","",'迁盟总表'!J83)</x:f>
        <x:v>739</x:v>
      </x:c>
      <x:c r="K83" s="40" t="n">
        <x:f>IF('迁盟总表'!K83="","",'迁盟总表'!K83)</x:f>
        <x:v>612</x:v>
      </x:c>
      <x:c r="L83" s="40" t="n">
        <x:f>IF('迁盟总表'!L83="","",'迁盟总表'!L83)</x:f>
        <x:v>615</x:v>
      </x:c>
      <x:c r="M83" s="40" t="n">
        <x:f>IF('迁盟总表'!M83="","",'迁盟总表'!M83)</x:f>
        <x:v>576</x:v>
      </x:c>
      <x:c r="N83" s="40" t="n">
        <x:f>IF('迁盟总表'!N83="","",'迁盟总表'!N83)</x:f>
        <x:v>726</x:v>
      </x:c>
      <x:c r="O83" s="40" t="n">
        <x:f>IF('迁盟总表'!O83="","",'迁盟总表'!O83)</x:f>
        <x:v>609</x:v>
      </x:c>
      <x:c r="P83" s="40" t="n">
        <x:f>IF('迁盟总表'!P83="","",'迁盟总表'!P83)</x:f>
        <x:v>3877</x:v>
      </x:c>
      <x:c r="Q83" s="43" t="n">
        <x:f>IF('迁盟总表'!X83="","",'迁盟总表'!X83)</x:f>
        <x:v>70.3</x:v>
      </x:c>
      <x:c r="R83" s="27" t="n">
        <x:f>IF('迁盟总表'!Y83="","",'迁盟总表'!Y83)</x:f>
        <x:v>202</x:v>
      </x:c>
      <x:c r="S83" s="55" t="str">
        <x:f>IF('迁盟总表'!Z83="","",'迁盟总表'!Z83)</x:f>
        <x:v>保留兰亭战斗骨干</x:v>
      </x:c>
    </x:row>
    <x:row r="84" ht="20" customHeight="1">
      <x:c r="A84" s="26" t="str">
        <x:f>IF('迁盟总表'!B84="","",'迁盟总表'!B84)</x:f>
        <x:v>将进才</x:v>
      </x:c>
      <x:c r="B84" s="27" t="str">
        <x:f>IF('迁盟总表'!C84="","",'迁盟总表'!C84)</x:f>
        <x:v>兰亭</x:v>
      </x:c>
      <x:c r="C84" s="58" t="str">
        <x:f>IF('迁盟总表'!D84="","",'迁盟总表'!D84)</x:f>
        <x:v>兰亭</x:v>
      </x:c>
      <x:c r="D84" s="27" t="str">
        <x:f>IF('迁盟总表'!E84="","",'迁盟总表'!E84)</x:f>
        <x:v>留盟</x:v>
      </x:c>
      <x:c r="E84" s="40" t="n">
        <x:f>IF('迁盟总表'!Q84="","",'迁盟总表'!Q84)</x:f>
        <x:v>3767029238</x:v>
      </x:c>
      <x:c r="F84" s="40" t="n">
        <x:f>IF('迁盟总表'!R84="","",'迁盟总表'!R84)</x:f>
        <x:v>74120974</x:v>
      </x:c>
      <x:c r="G84" s="40" t="n">
        <x:f>IF('迁盟总表'!S84="","",'迁盟总表'!S84)</x:f>
        <x:v>217082688</x:v>
      </x:c>
      <x:c r="H84" s="37" t="str">
        <x:f>IF('迁盟总表'!H84="","",'迁盟总表'!H84)</x:f>
      </x:c>
      <x:c r="I84" s="37" t="str">
        <x:f>IF('迁盟总表'!I84="","",'迁盟总表'!I84)</x:f>
      </x:c>
      <x:c r="J84" s="40" t="str">
        <x:f>IF('迁盟总表'!J84="","",'迁盟总表'!J84)</x:f>
      </x:c>
      <x:c r="K84" s="40" t="str">
        <x:f>IF('迁盟总表'!K84="","",'迁盟总表'!K84)</x:f>
      </x:c>
      <x:c r="L84" s="40" t="str">
        <x:f>IF('迁盟总表'!L84="","",'迁盟总表'!L84)</x:f>
      </x:c>
      <x:c r="M84" s="40" t="str">
        <x:f>IF('迁盟总表'!M84="","",'迁盟总表'!M84)</x:f>
      </x:c>
      <x:c r="N84" s="40" t="str">
        <x:f>IF('迁盟总表'!N84="","",'迁盟总表'!N84)</x:f>
      </x:c>
      <x:c r="O84" s="40" t="str">
        <x:f>IF('迁盟总表'!O84="","",'迁盟总表'!O84)</x:f>
      </x:c>
      <x:c r="P84" s="40" t="str">
        <x:f>IF('迁盟总表'!P84="","",'迁盟总表'!P84)</x:f>
      </x:c>
      <x:c r="Q84" s="43" t="n">
        <x:f>IF('迁盟总表'!X84="","",'迁盟总表'!X84)</x:f>
        <x:v>70.3</x:v>
      </x:c>
      <x:c r="R84" s="27" t="n">
        <x:f>IF('迁盟总表'!Y84="","",'迁盟总表'!Y84)</x:f>
        <x:v>202</x:v>
      </x:c>
      <x:c r="S84" s="55" t="str">
        <x:f>IF('迁盟总表'!Z84="","",'迁盟总表'!Z84)</x:f>
        <x:v>保留兰亭战斗骨干</x:v>
      </x:c>
    </x:row>
    <x:row r="85" ht="20" customHeight="1">
      <x:c r="A85" s="26" t="str">
        <x:f>IF('迁盟总表'!B85="","",'迁盟总表'!B85)</x:f>
        <x:v>大道至简</x:v>
      </x:c>
      <x:c r="B85" s="27" t="str">
        <x:f>IF('迁盟总表'!C85="","",'迁盟总表'!C85)</x:f>
        <x:v>兰亭</x:v>
      </x:c>
      <x:c r="C85" s="58" t="str">
        <x:f>IF('迁盟总表'!D85="","",'迁盟总表'!D85)</x:f>
        <x:v>兰亭</x:v>
      </x:c>
      <x:c r="D85" s="27" t="str">
        <x:f>IF('迁盟总表'!E85="","",'迁盟总表'!E85)</x:f>
        <x:v>留盟</x:v>
      </x:c>
      <x:c r="E85" s="40" t="n">
        <x:f>IF('迁盟总表'!Q85="","",'迁盟总表'!Q85)</x:f>
        <x:v>3224265038</x:v>
      </x:c>
      <x:c r="F85" s="40" t="n">
        <x:f>IF('迁盟总表'!R85="","",'迁盟总表'!R85)</x:f>
        <x:v>76932549</x:v>
      </x:c>
      <x:c r="G85" s="40" t="n">
        <x:f>IF('迁盟总表'!S85="","",'迁盟总表'!S85)</x:f>
        <x:v>232569454</x:v>
      </x:c>
      <x:c r="H85" s="37" t="n">
        <x:f>IF('迁盟总表'!H85="","",'迁盟总表'!H85)</x:f>
        <x:v>25.5</x:v>
      </x:c>
      <x:c r="I85" s="37" t="n">
        <x:f>IF('迁盟总表'!I85="","",'迁盟总表'!I85)</x:f>
        <x:v>25.5</x:v>
      </x:c>
      <x:c r="J85" s="40" t="n">
        <x:f>IF('迁盟总表'!J85="","",'迁盟总表'!J85)</x:f>
        <x:v>689</x:v>
      </x:c>
      <x:c r="K85" s="40" t="n">
        <x:f>IF('迁盟总表'!K85="","",'迁盟总表'!K85)</x:f>
        <x:v>779</x:v>
      </x:c>
      <x:c r="L85" s="40" t="n">
        <x:f>IF('迁盟总表'!L85="","",'迁盟总表'!L85)</x:f>
        <x:v>563</x:v>
      </x:c>
      <x:c r="M85" s="40" t="n">
        <x:f>IF('迁盟总表'!M85="","",'迁盟总表'!M85)</x:f>
        <x:v>450</x:v>
      </x:c>
      <x:c r="N85" s="40" t="n">
        <x:f>IF('迁盟总表'!N85="","",'迁盟总表'!N85)</x:f>
        <x:v>649</x:v>
      </x:c>
      <x:c r="O85" s="40" t="n">
        <x:f>IF('迁盟总表'!O85="","",'迁盟总表'!O85)</x:f>
        <x:v>587</x:v>
      </x:c>
      <x:c r="P85" s="40" t="n">
        <x:f>IF('迁盟总表'!P85="","",'迁盟总表'!P85)</x:f>
        <x:v>3717</x:v>
      </x:c>
      <x:c r="Q85" s="43" t="n">
        <x:f>IF('迁盟总表'!X85="","",'迁盟总表'!X85)</x:f>
        <x:v>70</x:v>
      </x:c>
      <x:c r="R85" s="27" t="n">
        <x:f>IF('迁盟总表'!Y85="","",'迁盟总表'!Y85)</x:f>
        <x:v>207</x:v>
      </x:c>
      <x:c r="S85" s="55" t="str">
        <x:f>IF('迁盟总表'!Z85="","",'迁盟总表'!Z85)</x:f>
        <x:v>保留兰亭战斗骨干</x:v>
      </x:c>
    </x:row>
    <x:row r="86" ht="20" customHeight="1">
      <x:c r="A86" s="26" t="str">
        <x:f>IF('迁盟总表'!B86="","",'迁盟总表'!B86)</x:f>
        <x:v>小婷婷啊</x:v>
      </x:c>
      <x:c r="B86" s="27" t="str">
        <x:f>IF('迁盟总表'!C86="","",'迁盟总表'!C86)</x:f>
        <x:v>兰亭</x:v>
      </x:c>
      <x:c r="C86" s="58" t="str">
        <x:f>IF('迁盟总表'!D86="","",'迁盟总表'!D86)</x:f>
        <x:v>兰亭</x:v>
      </x:c>
      <x:c r="D86" s="27" t="str">
        <x:f>IF('迁盟总表'!E86="","",'迁盟总表'!E86)</x:f>
        <x:v>留盟</x:v>
      </x:c>
      <x:c r="E86" s="40" t="n">
        <x:f>IF('迁盟总表'!Q86="","",'迁盟总表'!Q86)</x:f>
        <x:v>4641743641</x:v>
      </x:c>
      <x:c r="F86" s="40" t="n">
        <x:f>IF('迁盟总表'!R86="","",'迁盟总表'!R86)</x:f>
        <x:v>74138402</x:v>
      </x:c>
      <x:c r="G86" s="40" t="n">
        <x:f>IF('迁盟总表'!S86="","",'迁盟总表'!S86)</x:f>
        <x:v>247311885</x:v>
      </x:c>
      <x:c r="H86" s="37" t="n">
        <x:f>IF('迁盟总表'!H86="","",'迁盟总表'!H86)</x:f>
        <x:v>24.7</x:v>
      </x:c>
      <x:c r="I86" s="37" t="n">
        <x:f>IF('迁盟总表'!I86="","",'迁盟总表'!I86)</x:f>
        <x:v>24.7</x:v>
      </x:c>
      <x:c r="J86" s="40" t="n">
        <x:f>IF('迁盟总表'!J86="","",'迁盟总表'!J86)</x:f>
        <x:v>657</x:v>
      </x:c>
      <x:c r="K86" s="40" t="n">
        <x:f>IF('迁盟总表'!K86="","",'迁盟总表'!K86)</x:f>
        <x:v>617</x:v>
      </x:c>
      <x:c r="L86" s="40" t="n">
        <x:f>IF('迁盟总表'!L86="","",'迁盟总表'!L86)</x:f>
        <x:v>580</x:v>
      </x:c>
      <x:c r="M86" s="40" t="n">
        <x:f>IF('迁盟总表'!M86="","",'迁盟总表'!M86)</x:f>
        <x:v>412</x:v>
      </x:c>
      <x:c r="N86" s="40" t="n">
        <x:f>IF('迁盟总表'!N86="","",'迁盟总表'!N86)</x:f>
        <x:v>667</x:v>
      </x:c>
      <x:c r="O86" s="40" t="n">
        <x:f>IF('迁盟总表'!O86="","",'迁盟总表'!O86)</x:f>
        <x:v>506</x:v>
      </x:c>
      <x:c r="P86" s="40" t="n">
        <x:f>IF('迁盟总表'!P86="","",'迁盟总表'!P86)</x:f>
        <x:v>3439</x:v>
      </x:c>
      <x:c r="Q86" s="43" t="n">
        <x:f>IF('迁盟总表'!X86="","",'迁盟总表'!X86)</x:f>
        <x:v>69.9</x:v>
      </x:c>
      <x:c r="R86" s="27" t="n">
        <x:f>IF('迁盟总表'!Y86="","",'迁盟总表'!Y86)</x:f>
        <x:v>209</x:v>
      </x:c>
      <x:c r="S86" s="55" t="str">
        <x:f>IF('迁盟总表'!Z86="","",'迁盟总表'!Z86)</x:f>
        <x:v>保留兰亭战斗骨干</x:v>
      </x:c>
    </x:row>
    <x:row r="87" ht="20" customHeight="1">
      <x:c r="A87" s="26" t="str">
        <x:f>IF('迁盟总表'!B87="","",'迁盟总表'!B87)</x:f>
        <x:v>山咔咔</x:v>
      </x:c>
      <x:c r="B87" s="27" t="str">
        <x:f>IF('迁盟总表'!C87="","",'迁盟总表'!C87)</x:f>
        <x:v>兰亭</x:v>
      </x:c>
      <x:c r="C87" s="58" t="str">
        <x:f>IF('迁盟总表'!D87="","",'迁盟总表'!D87)</x:f>
        <x:v>兰亭</x:v>
      </x:c>
      <x:c r="D87" s="27" t="str">
        <x:f>IF('迁盟总表'!E87="","",'迁盟总表'!E87)</x:f>
        <x:v>留盟</x:v>
      </x:c>
      <x:c r="E87" s="40" t="n">
        <x:f>IF('迁盟总表'!Q87="","",'迁盟总表'!Q87)</x:f>
        <x:v>2299925636</x:v>
      </x:c>
      <x:c r="F87" s="40" t="n">
        <x:f>IF('迁盟总表'!R87="","",'迁盟总表'!R87)</x:f>
        <x:v>74699232</x:v>
      </x:c>
      <x:c r="G87" s="40" t="n">
        <x:f>IF('迁盟总表'!S87="","",'迁盟总表'!S87)</x:f>
        <x:v>226400335</x:v>
      </x:c>
      <x:c r="H87" s="37" t="str">
        <x:f>IF('迁盟总表'!H87="","",'迁盟总表'!H87)</x:f>
      </x:c>
      <x:c r="I87" s="37" t="str">
        <x:f>IF('迁盟总表'!I87="","",'迁盟总表'!I87)</x:f>
      </x:c>
      <x:c r="J87" s="40" t="str">
        <x:f>IF('迁盟总表'!J87="","",'迁盟总表'!J87)</x:f>
      </x:c>
      <x:c r="K87" s="40" t="str">
        <x:f>IF('迁盟总表'!K87="","",'迁盟总表'!K87)</x:f>
      </x:c>
      <x:c r="L87" s="40" t="str">
        <x:f>IF('迁盟总表'!L87="","",'迁盟总表'!L87)</x:f>
      </x:c>
      <x:c r="M87" s="40" t="str">
        <x:f>IF('迁盟总表'!M87="","",'迁盟总表'!M87)</x:f>
      </x:c>
      <x:c r="N87" s="40" t="str">
        <x:f>IF('迁盟总表'!N87="","",'迁盟总表'!N87)</x:f>
      </x:c>
      <x:c r="O87" s="40" t="str">
        <x:f>IF('迁盟总表'!O87="","",'迁盟总表'!O87)</x:f>
      </x:c>
      <x:c r="P87" s="40" t="str">
        <x:f>IF('迁盟总表'!P87="","",'迁盟总表'!P87)</x:f>
      </x:c>
      <x:c r="Q87" s="43" t="n">
        <x:f>IF('迁盟总表'!X87="","",'迁盟总表'!X87)</x:f>
        <x:v>69.8</x:v>
      </x:c>
      <x:c r="R87" s="27" t="n">
        <x:f>IF('迁盟总表'!Y87="","",'迁盟总表'!Y87)</x:f>
        <x:v>210</x:v>
      </x:c>
      <x:c r="S87" s="55" t="str">
        <x:f>IF('迁盟总表'!Z87="","",'迁盟总表'!Z87)</x:f>
        <x:v>保留兰亭战斗骨干</x:v>
      </x:c>
    </x:row>
    <x:row r="88" ht="20" customHeight="1">
      <x:c r="A88" s="26" t="str">
        <x:f>IF('迁盟总表'!B88="","",'迁盟总表'!B88)</x:f>
        <x:v>云饵猫猫</x:v>
      </x:c>
      <x:c r="B88" s="27" t="str">
        <x:f>IF('迁盟总表'!C88="","",'迁盟总表'!C88)</x:f>
        <x:v>兰亭</x:v>
      </x:c>
      <x:c r="C88" s="58" t="str">
        <x:f>IF('迁盟总表'!D88="","",'迁盟总表'!D88)</x:f>
        <x:v>兰亭</x:v>
      </x:c>
      <x:c r="D88" s="27" t="str">
        <x:f>IF('迁盟总表'!E88="","",'迁盟总表'!E88)</x:f>
        <x:v>留盟</x:v>
      </x:c>
      <x:c r="E88" s="40" t="n">
        <x:f>IF('迁盟总表'!Q88="","",'迁盟总表'!Q88)</x:f>
        <x:v>5524205694</x:v>
      </x:c>
      <x:c r="F88" s="40" t="n">
        <x:f>IF('迁盟总表'!R88="","",'迁盟总表'!R88)</x:f>
        <x:v>72868042</x:v>
      </x:c>
      <x:c r="G88" s="40" t="n">
        <x:f>IF('迁盟总表'!S88="","",'迁盟总表'!S88)</x:f>
        <x:v>217443574</x:v>
      </x:c>
      <x:c r="H88" s="37" t="n">
        <x:f>IF('迁盟总表'!H88="","",'迁盟总表'!H88)</x:f>
        <x:v>27.8</x:v>
      </x:c>
      <x:c r="I88" s="37" t="n">
        <x:f>IF('迁盟总表'!I88="","",'迁盟总表'!I88)</x:f>
        <x:v>27.8</x:v>
      </x:c>
      <x:c r="J88" s="40" t="n">
        <x:f>IF('迁盟总表'!J88="","",'迁盟总表'!J88)</x:f>
        <x:v>702</x:v>
      </x:c>
      <x:c r="K88" s="40" t="n">
        <x:f>IF('迁盟总表'!K88="","",'迁盟总表'!K88)</x:f>
        <x:v>669</x:v>
      </x:c>
      <x:c r="L88" s="40" t="n">
        <x:f>IF('迁盟总表'!L88="","",'迁盟总表'!L88)</x:f>
        <x:v>596</x:v>
      </x:c>
      <x:c r="M88" s="40" t="n">
        <x:f>IF('迁盟总表'!M88="","",'迁盟总表'!M88)</x:f>
        <x:v>568</x:v>
      </x:c>
      <x:c r="N88" s="40" t="n">
        <x:f>IF('迁盟总表'!N88="","",'迁盟总表'!N88)</x:f>
        <x:v>616</x:v>
      </x:c>
      <x:c r="O88" s="40" t="n">
        <x:f>IF('迁盟总表'!O88="","",'迁盟总表'!O88)</x:f>
        <x:v>669</x:v>
      </x:c>
      <x:c r="P88" s="40" t="n">
        <x:f>IF('迁盟总表'!P88="","",'迁盟总表'!P88)</x:f>
        <x:v>3820</x:v>
      </x:c>
      <x:c r="Q88" s="43" t="n">
        <x:f>IF('迁盟总表'!X88="","",'迁盟总表'!X88)</x:f>
        <x:v>69.5</x:v>
      </x:c>
      <x:c r="R88" s="27" t="n">
        <x:f>IF('迁盟总表'!Y88="","",'迁盟总表'!Y88)</x:f>
        <x:v>212</x:v>
      </x:c>
      <x:c r="S88" s="55" t="str">
        <x:f>IF('迁盟总表'!Z88="","",'迁盟总表'!Z88)</x:f>
        <x:v>保留兰亭战斗骨干</x:v>
      </x:c>
    </x:row>
    <x:row r="89" ht="20" customHeight="1">
      <x:c r="A89" s="26" t="str">
        <x:f>IF('迁盟总表'!B89="","",'迁盟总表'!B89)</x:f>
        <x:v>尹志平</x:v>
      </x:c>
      <x:c r="B89" s="27" t="str">
        <x:f>IF('迁盟总表'!C89="","",'迁盟总表'!C89)</x:f>
        <x:v>兰亭</x:v>
      </x:c>
      <x:c r="C89" s="58" t="str">
        <x:f>IF('迁盟总表'!D89="","",'迁盟总表'!D89)</x:f>
        <x:v>兰亭</x:v>
      </x:c>
      <x:c r="D89" s="27" t="str">
        <x:f>IF('迁盟总表'!E89="","",'迁盟总表'!E89)</x:f>
        <x:v>留盟</x:v>
      </x:c>
      <x:c r="E89" s="40" t="n">
        <x:f>IF('迁盟总表'!Q89="","",'迁盟总表'!Q89)</x:f>
        <x:v>5011233352</x:v>
      </x:c>
      <x:c r="F89" s="40" t="n">
        <x:f>IF('迁盟总表'!R89="","",'迁盟总表'!R89)</x:f>
        <x:v>74801182</x:v>
      </x:c>
      <x:c r="G89" s="40" t="n">
        <x:f>IF('迁盟总表'!S89="","",'迁盟总表'!S89)</x:f>
        <x:v>207413441</x:v>
      </x:c>
      <x:c r="H89" s="37" t="n">
        <x:f>IF('迁盟总表'!H89="","",'迁盟总表'!H89)</x:f>
        <x:v>28</x:v>
      </x:c>
      <x:c r="I89" s="37" t="n">
        <x:f>IF('迁盟总表'!I89="","",'迁盟总表'!I89)</x:f>
        <x:v>28</x:v>
      </x:c>
      <x:c r="J89" s="40" t="n">
        <x:f>IF('迁盟总表'!J89="","",'迁盟总表'!J89)</x:f>
        <x:v>691</x:v>
      </x:c>
      <x:c r="K89" s="40" t="n">
        <x:f>IF('迁盟总表'!K89="","",'迁盟总表'!K89)</x:f>
        <x:v>683</x:v>
      </x:c>
      <x:c r="L89" s="40" t="n">
        <x:f>IF('迁盟总表'!L89="","",'迁盟总表'!L89)</x:f>
        <x:v>666</x:v>
      </x:c>
      <x:c r="M89" s="40" t="n">
        <x:f>IF('迁盟总表'!M89="","",'迁盟总表'!M89)</x:f>
        <x:v>500</x:v>
      </x:c>
      <x:c r="N89" s="40" t="n">
        <x:f>IF('迁盟总表'!N89="","",'迁盟总表'!N89)</x:f>
        <x:v>637</x:v>
      </x:c>
      <x:c r="O89" s="40" t="n">
        <x:f>IF('迁盟总表'!O89="","",'迁盟总表'!O89)</x:f>
        <x:v>603</x:v>
      </x:c>
      <x:c r="P89" s="40" t="n">
        <x:f>IF('迁盟总表'!P89="","",'迁盟总表'!P89)</x:f>
        <x:v>3780</x:v>
      </x:c>
      <x:c r="Q89" s="43" t="n">
        <x:f>IF('迁盟总表'!X89="","",'迁盟总表'!X89)</x:f>
        <x:v>69.5</x:v>
      </x:c>
      <x:c r="R89" s="27" t="n">
        <x:f>IF('迁盟总表'!Y89="","",'迁盟总表'!Y89)</x:f>
        <x:v>212</x:v>
      </x:c>
      <x:c r="S89" s="55" t="str">
        <x:f>IF('迁盟总表'!Z89="","",'迁盟总表'!Z89)</x:f>
        <x:v>保留兰亭战斗骨干</x:v>
      </x:c>
    </x:row>
    <x:row r="90" ht="20" customHeight="1">
      <x:c r="A90" s="26" t="str">
        <x:f>IF('迁盟总表'!B90="","",'迁盟总表'!B90)</x:f>
        <x:v>美美甜</x:v>
      </x:c>
      <x:c r="B90" s="27" t="str">
        <x:f>IF('迁盟总表'!C90="","",'迁盟总表'!C90)</x:f>
        <x:v>兰亭</x:v>
      </x:c>
      <x:c r="C90" s="58" t="str">
        <x:f>IF('迁盟总表'!D90="","",'迁盟总表'!D90)</x:f>
        <x:v>兰亭</x:v>
      </x:c>
      <x:c r="D90" s="27" t="str">
        <x:f>IF('迁盟总表'!E90="","",'迁盟总表'!E90)</x:f>
        <x:v>留盟</x:v>
      </x:c>
      <x:c r="E90" s="40" t="n">
        <x:f>IF('迁盟总表'!Q90="","",'迁盟总表'!Q90)</x:f>
        <x:v>3163657947</x:v>
      </x:c>
      <x:c r="F90" s="40" t="n">
        <x:f>IF('迁盟总表'!R90="","",'迁盟总表'!R90)</x:f>
        <x:v>74110604</x:v>
      </x:c>
      <x:c r="G90" s="40" t="n">
        <x:f>IF('迁盟总表'!S90="","",'迁盟总表'!S90)</x:f>
        <x:v>245161056</x:v>
      </x:c>
      <x:c r="H90" s="37" t="n">
        <x:f>IF('迁盟总表'!H90="","",'迁盟总表'!H90)</x:f>
        <x:v>26.74</x:v>
      </x:c>
      <x:c r="I90" s="37" t="n">
        <x:f>IF('迁盟总表'!I90="","",'迁盟总表'!I90)</x:f>
        <x:v>26.74</x:v>
      </x:c>
      <x:c r="J90" s="40" t="n">
        <x:f>IF('迁盟总表'!J90="","",'迁盟总表'!J90)</x:f>
        <x:v>572</x:v>
      </x:c>
      <x:c r="K90" s="40" t="n">
        <x:f>IF('迁盟总表'!K90="","",'迁盟总表'!K90)</x:f>
        <x:v>702</x:v>
      </x:c>
      <x:c r="L90" s="40" t="n">
        <x:f>IF('迁盟总表'!L90="","",'迁盟总表'!L90)</x:f>
        <x:v>604</x:v>
      </x:c>
      <x:c r="M90" s="40" t="n">
        <x:f>IF('迁盟总表'!M90="","",'迁盟总表'!M90)</x:f>
        <x:v>450</x:v>
      </x:c>
      <x:c r="N90" s="40" t="n">
        <x:f>IF('迁盟总表'!N90="","",'迁盟总表'!N90)</x:f>
        <x:v>639</x:v>
      </x:c>
      <x:c r="O90" s="40" t="n">
        <x:f>IF('迁盟总表'!O90="","",'迁盟总表'!O90)</x:f>
        <x:v>583</x:v>
      </x:c>
      <x:c r="P90" s="40" t="n">
        <x:f>IF('迁盟总表'!P90="","",'迁盟总表'!P90)</x:f>
        <x:v>3550</x:v>
      </x:c>
      <x:c r="Q90" s="43" t="n">
        <x:f>IF('迁盟总表'!X90="","",'迁盟总表'!X90)</x:f>
        <x:v>69.3</x:v>
      </x:c>
      <x:c r="R90" s="27" t="n">
        <x:f>IF('迁盟总表'!Y90="","",'迁盟总表'!Y90)</x:f>
        <x:v>215</x:v>
      </x:c>
      <x:c r="S90" s="55" t="str">
        <x:f>IF('迁盟总表'!Z90="","",'迁盟总表'!Z90)</x:f>
        <x:v>保留兰亭战斗骨干</x:v>
      </x:c>
    </x:row>
    <x:row r="91" ht="20" customHeight="1">
      <x:c r="A91" s="26" t="str">
        <x:f>IF('迁盟总表'!B91="","",'迁盟总表'!B91)</x:f>
        <x:v>我是山东的</x:v>
      </x:c>
      <x:c r="B91" s="27" t="str">
        <x:f>IF('迁盟总表'!C91="","",'迁盟总表'!C91)</x:f>
        <x:v>兰亭</x:v>
      </x:c>
      <x:c r="C91" s="58" t="str">
        <x:f>IF('迁盟总表'!D91="","",'迁盟总表'!D91)</x:f>
        <x:v>兰亭</x:v>
      </x:c>
      <x:c r="D91" s="27" t="str">
        <x:f>IF('迁盟总表'!E91="","",'迁盟总表'!E91)</x:f>
        <x:v>留盟</x:v>
      </x:c>
      <x:c r="E91" s="40" t="n">
        <x:f>IF('迁盟总表'!Q91="","",'迁盟总表'!Q91)</x:f>
        <x:v>4245424960</x:v>
      </x:c>
      <x:c r="F91" s="40" t="n">
        <x:f>IF('迁盟总表'!R91="","",'迁盟总表'!R91)</x:f>
        <x:v>72414504</x:v>
      </x:c>
      <x:c r="G91" s="40" t="n">
        <x:f>IF('迁盟总表'!S91="","",'迁盟总表'!S91)</x:f>
        <x:v>240762074</x:v>
      </x:c>
      <x:c r="H91" s="37" t="n">
        <x:f>IF('迁盟总表'!H91="","",'迁盟总表'!H91)</x:f>
        <x:v>28.8</x:v>
      </x:c>
      <x:c r="I91" s="37" t="n">
        <x:f>IF('迁盟总表'!I91="","",'迁盟总表'!I91)</x:f>
        <x:v>28.2</x:v>
      </x:c>
      <x:c r="J91" s="40" t="n">
        <x:f>IF('迁盟总表'!J91="","",'迁盟总表'!J91)</x:f>
        <x:v>730</x:v>
      </x:c>
      <x:c r="K91" s="40" t="n">
        <x:f>IF('迁盟总表'!K91="","",'迁盟总表'!K91)</x:f>
        <x:v>523</x:v>
      </x:c>
      <x:c r="L91" s="40" t="n">
        <x:f>IF('迁盟总表'!L91="","",'迁盟总表'!L91)</x:f>
        <x:v>580</x:v>
      </x:c>
      <x:c r="M91" s="40" t="n">
        <x:f>IF('迁盟总表'!M91="","",'迁盟总表'!M91)</x:f>
        <x:v>441</x:v>
      </x:c>
      <x:c r="N91" s="40" t="n">
        <x:f>IF('迁盟总表'!N91="","",'迁盟总表'!N91)</x:f>
        <x:v>670</x:v>
      </x:c>
      <x:c r="O91" s="40" t="n">
        <x:f>IF('迁盟总表'!O91="","",'迁盟总表'!O91)</x:f>
        <x:v>630</x:v>
      </x:c>
      <x:c r="P91" s="40" t="n">
        <x:f>IF('迁盟总表'!P91="","",'迁盟总表'!P91)</x:f>
        <x:v>3574</x:v>
      </x:c>
      <x:c r="Q91" s="43" t="n">
        <x:f>IF('迁盟总表'!X91="","",'迁盟总表'!X91)</x:f>
        <x:v>69.3</x:v>
      </x:c>
      <x:c r="R91" s="27" t="n">
        <x:f>IF('迁盟总表'!Y91="","",'迁盟总表'!Y91)</x:f>
        <x:v>215</x:v>
      </x:c>
      <x:c r="S91" s="55" t="str">
        <x:f>IF('迁盟总表'!Z91="","",'迁盟总表'!Z91)</x:f>
        <x:v>保留兰亭战斗骨干</x:v>
      </x:c>
    </x:row>
    <x:row r="92" ht="20" customHeight="1">
      <x:c r="A92" s="26" t="str">
        <x:f>IF('迁盟总表'!B92="","",'迁盟总表'!B92)</x:f>
        <x:v>安小曦</x:v>
      </x:c>
      <x:c r="B92" s="27" t="str">
        <x:f>IF('迁盟总表'!C92="","",'迁盟总表'!C92)</x:f>
        <x:v>兰亭</x:v>
      </x:c>
      <x:c r="C92" s="58" t="str">
        <x:f>IF('迁盟总表'!D92="","",'迁盟总表'!D92)</x:f>
        <x:v>兰亭</x:v>
      </x:c>
      <x:c r="D92" s="27" t="str">
        <x:f>IF('迁盟总表'!E92="","",'迁盟总表'!E92)</x:f>
        <x:v>留盟</x:v>
      </x:c>
      <x:c r="E92" s="40" t="n">
        <x:f>IF('迁盟总表'!Q92="","",'迁盟总表'!Q92)</x:f>
        <x:v>2185105487</x:v>
      </x:c>
      <x:c r="F92" s="40" t="n">
        <x:f>IF('迁盟总表'!R92="","",'迁盟总表'!R92)</x:f>
        <x:v>76277454</x:v>
      </x:c>
      <x:c r="G92" s="40" t="n">
        <x:f>IF('迁盟总表'!S92="","",'迁盟总表'!S92)</x:f>
        <x:v>233355088</x:v>
      </x:c>
      <x:c r="H92" s="37" t="n">
        <x:f>IF('迁盟总表'!H92="","",'迁盟总表'!H92)</x:f>
        <x:v>27.24</x:v>
      </x:c>
      <x:c r="I92" s="37" t="n">
        <x:f>IF('迁盟总表'!I92="","",'迁盟总表'!I92)</x:f>
        <x:v>25.7</x:v>
      </x:c>
      <x:c r="J92" s="40" t="n">
        <x:f>IF('迁盟总表'!J92="","",'迁盟总表'!J92)</x:f>
        <x:v>679</x:v>
      </x:c>
      <x:c r="K92" s="40" t="n">
        <x:f>IF('迁盟总表'!K92="","",'迁盟总表'!K92)</x:f>
        <x:v>653</x:v>
      </x:c>
      <x:c r="L92" s="40" t="n">
        <x:f>IF('迁盟总表'!L92="","",'迁盟总表'!L92)</x:f>
        <x:v>617</x:v>
      </x:c>
      <x:c r="M92" s="40" t="n">
        <x:f>IF('迁盟总表'!M92="","",'迁盟总表'!M92)</x:f>
        <x:v>506</x:v>
      </x:c>
      <x:c r="N92" s="40" t="n">
        <x:f>IF('迁盟总表'!N92="","",'迁盟总表'!N92)</x:f>
        <x:v>735</x:v>
      </x:c>
      <x:c r="O92" s="40" t="n">
        <x:f>IF('迁盟总表'!O92="","",'迁盟总表'!O92)</x:f>
        <x:v>576</x:v>
      </x:c>
      <x:c r="P92" s="40" t="n">
        <x:f>IF('迁盟总表'!P92="","",'迁盟总表'!P92)</x:f>
        <x:v>3766</x:v>
      </x:c>
      <x:c r="Q92" s="43" t="n">
        <x:f>IF('迁盟总表'!X92="","",'迁盟总表'!X92)</x:f>
        <x:v>69.2</x:v>
      </x:c>
      <x:c r="R92" s="27" t="n">
        <x:f>IF('迁盟总表'!Y92="","",'迁盟总表'!Y92)</x:f>
        <x:v>217</x:v>
      </x:c>
      <x:c r="S92" s="55" t="str">
        <x:f>IF('迁盟总表'!Z92="","",'迁盟总表'!Z92)</x:f>
        <x:v>保留兰亭战斗骨干</x:v>
      </x:c>
    </x:row>
    <x:row r="93" ht="20" customHeight="1">
      <x:c r="A93" s="26" t="str">
        <x:f>IF('迁盟总表'!B93="","",'迁盟总表'!B93)</x:f>
        <x:v>哈呀哈</x:v>
      </x:c>
      <x:c r="B93" s="27" t="str">
        <x:f>IF('迁盟总表'!C93="","",'迁盟总表'!C93)</x:f>
        <x:v>兰亭</x:v>
      </x:c>
      <x:c r="C93" s="58" t="str">
        <x:f>IF('迁盟总表'!D93="","",'迁盟总表'!D93)</x:f>
        <x:v>兰亭</x:v>
      </x:c>
      <x:c r="D93" s="27" t="str">
        <x:f>IF('迁盟总表'!E93="","",'迁盟总表'!E93)</x:f>
        <x:v>留盟</x:v>
      </x:c>
      <x:c r="E93" s="40" t="n">
        <x:f>IF('迁盟总表'!Q93="","",'迁盟总表'!Q93)</x:f>
        <x:v>4018623520</x:v>
      </x:c>
      <x:c r="F93" s="40" t="n">
        <x:f>IF('迁盟总表'!R93="","",'迁盟总表'!R93)</x:f>
        <x:v>69250531</x:v>
      </x:c>
      <x:c r="G93" s="40" t="n">
        <x:f>IF('迁盟总表'!S93="","",'迁盟总表'!S93)</x:f>
        <x:v>219642339</x:v>
      </x:c>
      <x:c r="H93" s="37" t="str">
        <x:f>IF('迁盟总表'!H93="","",'迁盟总表'!H93)</x:f>
      </x:c>
      <x:c r="I93" s="37" t="str">
        <x:f>IF('迁盟总表'!I93="","",'迁盟总表'!I93)</x:f>
      </x:c>
      <x:c r="J93" s="40" t="str">
        <x:f>IF('迁盟总表'!J93="","",'迁盟总表'!J93)</x:f>
      </x:c>
      <x:c r="K93" s="40" t="str">
        <x:f>IF('迁盟总表'!K93="","",'迁盟总表'!K93)</x:f>
      </x:c>
      <x:c r="L93" s="40" t="str">
        <x:f>IF('迁盟总表'!L93="","",'迁盟总表'!L93)</x:f>
      </x:c>
      <x:c r="M93" s="40" t="str">
        <x:f>IF('迁盟总表'!M93="","",'迁盟总表'!M93)</x:f>
      </x:c>
      <x:c r="N93" s="40" t="str">
        <x:f>IF('迁盟总表'!N93="","",'迁盟总表'!N93)</x:f>
      </x:c>
      <x:c r="O93" s="40" t="str">
        <x:f>IF('迁盟总表'!O93="","",'迁盟总表'!O93)</x:f>
      </x:c>
      <x:c r="P93" s="40" t="str">
        <x:f>IF('迁盟总表'!P93="","",'迁盟总表'!P93)</x:f>
      </x:c>
      <x:c r="Q93" s="43" t="n">
        <x:f>IF('迁盟总表'!X93="","",'迁盟总表'!X93)</x:f>
        <x:v>69.1</x:v>
      </x:c>
      <x:c r="R93" s="27" t="n">
        <x:f>IF('迁盟总表'!Y93="","",'迁盟总表'!Y93)</x:f>
        <x:v>219</x:v>
      </x:c>
      <x:c r="S93" s="55" t="str">
        <x:f>IF('迁盟总表'!Z93="","",'迁盟总表'!Z93)</x:f>
        <x:v>保留兰亭战斗骨干</x:v>
      </x:c>
    </x:row>
    <x:row r="94" ht="20" customHeight="1">
      <x:c r="A94" s="26" t="str">
        <x:f>IF('迁盟总表'!B94="","",'迁盟总表'!B94)</x:f>
        <x:v>莹莹吖</x:v>
      </x:c>
      <x:c r="B94" s="27" t="str">
        <x:f>IF('迁盟总表'!C94="","",'迁盟总表'!C94)</x:f>
        <x:v>兰亭</x:v>
      </x:c>
      <x:c r="C94" s="58" t="str">
        <x:f>IF('迁盟总表'!D94="","",'迁盟总表'!D94)</x:f>
        <x:v>兰亭</x:v>
      </x:c>
      <x:c r="D94" s="27" t="str">
        <x:f>IF('迁盟总表'!E94="","",'迁盟总表'!E94)</x:f>
        <x:v>留盟</x:v>
      </x:c>
      <x:c r="E94" s="40" t="n">
        <x:f>IF('迁盟总表'!Q94="","",'迁盟总表'!Q94)</x:f>
        <x:v>2625870588</x:v>
      </x:c>
      <x:c r="F94" s="40" t="n">
        <x:f>IF('迁盟总表'!R94="","",'迁盟总表'!R94)</x:f>
        <x:v>72481689</x:v>
      </x:c>
      <x:c r="G94" s="40" t="n">
        <x:f>IF('迁盟总表'!S94="","",'迁盟总表'!S94)</x:f>
        <x:v>249568446</x:v>
      </x:c>
      <x:c r="H94" s="37" t="n">
        <x:f>IF('迁盟总表'!H94="","",'迁盟总表'!H94)</x:f>
        <x:v>27.5</x:v>
      </x:c>
      <x:c r="I94" s="37" t="n">
        <x:f>IF('迁盟总表'!I94="","",'迁盟总表'!I94)</x:f>
        <x:v>27.5</x:v>
      </x:c>
      <x:c r="J94" s="40" t="n">
        <x:f>IF('迁盟总表'!J94="","",'迁盟总表'!J94)</x:f>
        <x:v>688</x:v>
      </x:c>
      <x:c r="K94" s="40" t="n">
        <x:f>IF('迁盟总表'!K94="","",'迁盟总表'!K94)</x:f>
        <x:v>686</x:v>
      </x:c>
      <x:c r="L94" s="40" t="n">
        <x:f>IF('迁盟总表'!L94="","",'迁盟总表'!L94)</x:f>
        <x:v>601</x:v>
      </x:c>
      <x:c r="M94" s="40" t="n">
        <x:f>IF('迁盟总表'!M94="","",'迁盟总表'!M94)</x:f>
        <x:v>457</x:v>
      </x:c>
      <x:c r="N94" s="40" t="n">
        <x:f>IF('迁盟总表'!N94="","",'迁盟总表'!N94)</x:f>
        <x:v>674</x:v>
      </x:c>
      <x:c r="O94" s="40" t="n">
        <x:f>IF('迁盟总表'!O94="","",'迁盟总表'!O94)</x:f>
        <x:v>588</x:v>
      </x:c>
      <x:c r="P94" s="40" t="n">
        <x:f>IF('迁盟总表'!P94="","",'迁盟总表'!P94)</x:f>
        <x:v>3694</x:v>
      </x:c>
      <x:c r="Q94" s="43" t="n">
        <x:f>IF('迁盟总表'!X94="","",'迁盟总表'!X94)</x:f>
        <x:v>68.9</x:v>
      </x:c>
      <x:c r="R94" s="27" t="n">
        <x:f>IF('迁盟总表'!Y94="","",'迁盟总表'!Y94)</x:f>
        <x:v>222</x:v>
      </x:c>
      <x:c r="S94" s="55" t="str">
        <x:f>IF('迁盟总表'!Z94="","",'迁盟总表'!Z94)</x:f>
        <x:v>保留兰亭战斗骨干</x:v>
      </x:c>
    </x:row>
    <x:row r="95" ht="20" customHeight="1">
      <x:c r="A95" s="26" t="str">
        <x:f>IF('迁盟总表'!B95="","",'迁盟总表'!B95)</x:f>
        <x:v>小成即安</x:v>
      </x:c>
      <x:c r="B95" s="27" t="str">
        <x:f>IF('迁盟总表'!C95="","",'迁盟总表'!C95)</x:f>
        <x:v>兰亭</x:v>
      </x:c>
      <x:c r="C95" s="58" t="str">
        <x:f>IF('迁盟总表'!D95="","",'迁盟总表'!D95)</x:f>
        <x:v>兰亭</x:v>
      </x:c>
      <x:c r="D95" s="27" t="str">
        <x:f>IF('迁盟总表'!E95="","",'迁盟总表'!E95)</x:f>
        <x:v>留盟</x:v>
      </x:c>
      <x:c r="E95" s="40" t="n">
        <x:f>IF('迁盟总表'!Q95="","",'迁盟总表'!Q95)</x:f>
        <x:v>4415164352</x:v>
      </x:c>
      <x:c r="F95" s="40" t="n">
        <x:f>IF('迁盟总表'!R95="","",'迁盟总表'!R95)</x:f>
        <x:v>70790430</x:v>
      </x:c>
      <x:c r="G95" s="40" t="n">
        <x:f>IF('迁盟总表'!S95="","",'迁盟总表'!S95)</x:f>
        <x:v>224563070</x:v>
      </x:c>
      <x:c r="H95" s="37" t="n">
        <x:f>IF('迁盟总表'!H95="","",'迁盟总表'!H95)</x:f>
        <x:v>28.4</x:v>
      </x:c>
      <x:c r="I95" s="37" t="n">
        <x:f>IF('迁盟总表'!I95="","",'迁盟总表'!I95)</x:f>
        <x:v>28.4</x:v>
      </x:c>
      <x:c r="J95" s="40" t="n">
        <x:f>IF('迁盟总表'!J95="","",'迁盟总表'!J95)</x:f>
        <x:v>721</x:v>
      </x:c>
      <x:c r="K95" s="40" t="n">
        <x:f>IF('迁盟总表'!K95="","",'迁盟总表'!K95)</x:f>
        <x:v>734</x:v>
      </x:c>
      <x:c r="L95" s="40" t="n">
        <x:f>IF('迁盟总表'!L95="","",'迁盟总表'!L95)</x:f>
        <x:v>600</x:v>
      </x:c>
      <x:c r="M95" s="40" t="n">
        <x:f>IF('迁盟总表'!M95="","",'迁盟总表'!M95)</x:f>
        <x:v>507</x:v>
      </x:c>
      <x:c r="N95" s="40" t="n">
        <x:f>IF('迁盟总表'!N95="","",'迁盟总表'!N95)</x:f>
        <x:v>664</x:v>
      </x:c>
      <x:c r="O95" s="40" t="n">
        <x:f>IF('迁盟总表'!O95="","",'迁盟总表'!O95)</x:f>
        <x:v>601</x:v>
      </x:c>
      <x:c r="P95" s="40" t="n">
        <x:f>IF('迁盟总表'!P95="","",'迁盟总表'!P95)</x:f>
        <x:v>3827</x:v>
      </x:c>
      <x:c r="Q95" s="43" t="n">
        <x:f>IF('迁盟总表'!X95="","",'迁盟总表'!X95)</x:f>
        <x:v>68.8</x:v>
      </x:c>
      <x:c r="R95" s="27" t="n">
        <x:f>IF('迁盟总表'!Y95="","",'迁盟总表'!Y95)</x:f>
        <x:v>225</x:v>
      </x:c>
      <x:c r="S95" s="55" t="str">
        <x:f>IF('迁盟总表'!Z95="","",'迁盟总表'!Z95)</x:f>
        <x:v>保留兰亭战斗骨干</x:v>
      </x:c>
    </x:row>
    <x:row r="96" ht="20" customHeight="1">
      <x:c r="A96" s="26" t="str">
        <x:f>IF('迁盟总表'!B96="","",'迁盟总表'!B96)</x:f>
        <x:v>钓鱼佬</x:v>
      </x:c>
      <x:c r="B96" s="27" t="str">
        <x:f>IF('迁盟总表'!C96="","",'迁盟总表'!C96)</x:f>
        <x:v>兰亭</x:v>
      </x:c>
      <x:c r="C96" s="58" t="str">
        <x:f>IF('迁盟总表'!D96="","",'迁盟总表'!D96)</x:f>
        <x:v>兰亭</x:v>
      </x:c>
      <x:c r="D96" s="27" t="str">
        <x:f>IF('迁盟总表'!E96="","",'迁盟总表'!E96)</x:f>
        <x:v>留盟</x:v>
      </x:c>
      <x:c r="E96" s="40" t="n">
        <x:f>IF('迁盟总表'!Q96="","",'迁盟总表'!Q96)</x:f>
        <x:v>2511129798</x:v>
      </x:c>
      <x:c r="F96" s="40" t="n">
        <x:f>IF('迁盟总表'!R96="","",'迁盟总表'!R96)</x:f>
        <x:v>73938470</x:v>
      </x:c>
      <x:c r="G96" s="40" t="n">
        <x:f>IF('迁盟总表'!S96="","",'迁盟总表'!S96)</x:f>
        <x:v>224613764</x:v>
      </x:c>
      <x:c r="H96" s="37" t="n">
        <x:f>IF('迁盟总表'!H96="","",'迁盟总表'!H96)</x:f>
        <x:v>28.8</x:v>
      </x:c>
      <x:c r="I96" s="37" t="n">
        <x:f>IF('迁盟总表'!I96="","",'迁盟总表'!I96)</x:f>
        <x:v>26.7</x:v>
      </x:c>
      <x:c r="J96" s="40" t="n">
        <x:f>IF('迁盟总表'!J96="","",'迁盟总表'!J96)</x:f>
        <x:v>713</x:v>
      </x:c>
      <x:c r="K96" s="40" t="n">
        <x:f>IF('迁盟总表'!K96="","",'迁盟总表'!K96)</x:f>
        <x:v>748</x:v>
      </x:c>
      <x:c r="L96" s="40" t="n">
        <x:f>IF('迁盟总表'!L96="","",'迁盟总表'!L96)</x:f>
        <x:v>541</x:v>
      </x:c>
      <x:c r="M96" s="40" t="n">
        <x:f>IF('迁盟总表'!M96="","",'迁盟总表'!M96)</x:f>
        <x:v>421</x:v>
      </x:c>
      <x:c r="N96" s="40" t="n">
        <x:f>IF('迁盟总表'!N96="","",'迁盟总表'!N96)</x:f>
        <x:v>731</x:v>
      </x:c>
      <x:c r="O96" s="40" t="n">
        <x:f>IF('迁盟总表'!O96="","",'迁盟总表'!O96)</x:f>
        <x:v>712</x:v>
      </x:c>
      <x:c r="P96" s="40" t="n">
        <x:f>IF('迁盟总表'!P96="","",'迁盟总表'!P96)</x:f>
        <x:v>3866</x:v>
      </x:c>
      <x:c r="Q96" s="43" t="n">
        <x:f>IF('迁盟总表'!X96="","",'迁盟总表'!X96)</x:f>
        <x:v>68.8</x:v>
      </x:c>
      <x:c r="R96" s="27" t="n">
        <x:f>IF('迁盟总表'!Y96="","",'迁盟总表'!Y96)</x:f>
        <x:v>225</x:v>
      </x:c>
      <x:c r="S96" s="55" t="str">
        <x:f>IF('迁盟总表'!Z96="","",'迁盟总表'!Z96)</x:f>
        <x:v>保留兰亭战斗骨干</x:v>
      </x:c>
    </x:row>
    <x:row r="97" ht="20" customHeight="1">
      <x:c r="A97" s="26" t="str">
        <x:f>IF('迁盟总表'!B97="","",'迁盟总表'!B97)</x:f>
        <x:v>云丨毛毛大王</x:v>
      </x:c>
      <x:c r="B97" s="27" t="str">
        <x:f>IF('迁盟总表'!C97="","",'迁盟总表'!C97)</x:f>
        <x:v>兰亭</x:v>
      </x:c>
      <x:c r="C97" s="58" t="str">
        <x:f>IF('迁盟总表'!D97="","",'迁盟总表'!D97)</x:f>
        <x:v>兰亭</x:v>
      </x:c>
      <x:c r="D97" s="27" t="str">
        <x:f>IF('迁盟总表'!E97="","",'迁盟总表'!E97)</x:f>
        <x:v>留盟</x:v>
      </x:c>
      <x:c r="E97" s="40" t="n">
        <x:f>IF('迁盟总表'!Q97="","",'迁盟总表'!Q97)</x:f>
        <x:v>2993751480</x:v>
      </x:c>
      <x:c r="F97" s="40" t="n">
        <x:f>IF('迁盟总表'!R97="","",'迁盟总表'!R97)</x:f>
        <x:v>72719625</x:v>
      </x:c>
      <x:c r="G97" s="40" t="n">
        <x:f>IF('迁盟总表'!S97="","",'迁盟总表'!S97)</x:f>
        <x:v>236348580</x:v>
      </x:c>
      <x:c r="H97" s="37" t="n">
        <x:f>IF('迁盟总表'!H97="","",'迁盟总表'!H97)</x:f>
        <x:v>25.9</x:v>
      </x:c>
      <x:c r="I97" s="37" t="n">
        <x:f>IF('迁盟总表'!I97="","",'迁盟总表'!I97)</x:f>
        <x:v>25.9</x:v>
      </x:c>
      <x:c r="J97" s="40" t="n">
        <x:f>IF('迁盟总表'!J97="","",'迁盟总表'!J97)</x:f>
        <x:v>632</x:v>
      </x:c>
      <x:c r="K97" s="40" t="n">
        <x:f>IF('迁盟总表'!K97="","",'迁盟总表'!K97)</x:f>
        <x:v>588</x:v>
      </x:c>
      <x:c r="L97" s="40" t="n">
        <x:f>IF('迁盟总表'!L97="","",'迁盟总表'!L97)</x:f>
        <x:v>620</x:v>
      </x:c>
      <x:c r="M97" s="40" t="n">
        <x:f>IF('迁盟总表'!M97="","",'迁盟总表'!M97)</x:f>
        <x:v>538</x:v>
      </x:c>
      <x:c r="N97" s="40" t="n">
        <x:f>IF('迁盟总表'!N97="","",'迁盟总表'!N97)</x:f>
        <x:v>645</x:v>
      </x:c>
      <x:c r="O97" s="40" t="n">
        <x:f>IF('迁盟总表'!O97="","",'迁盟总表'!O97)</x:f>
        <x:v>500</x:v>
      </x:c>
      <x:c r="P97" s="40" t="n">
        <x:f>IF('迁盟总表'!P97="","",'迁盟总表'!P97)</x:f>
        <x:v>3523</x:v>
      </x:c>
      <x:c r="Q97" s="43" t="n">
        <x:f>IF('迁盟总表'!X97="","",'迁盟总表'!X97)</x:f>
        <x:v>68.5</x:v>
      </x:c>
      <x:c r="R97" s="27" t="n">
        <x:f>IF('迁盟总表'!Y97="","",'迁盟总表'!Y97)</x:f>
        <x:v>227</x:v>
      </x:c>
      <x:c r="S97" s="55" t="str">
        <x:f>IF('迁盟总表'!Z97="","",'迁盟总表'!Z97)</x:f>
        <x:v>保留兰亭战斗骨干</x:v>
      </x:c>
    </x:row>
    <x:row r="98" ht="20" customHeight="1">
      <x:c r="A98" s="26" t="str">
        <x:f>IF('迁盟总表'!B98="","",'迁盟总表'!B98)</x:f>
        <x:v>咖啡不加奶</x:v>
      </x:c>
      <x:c r="B98" s="27" t="str">
        <x:f>IF('迁盟总表'!C98="","",'迁盟总表'!C98)</x:f>
        <x:v>兰亭</x:v>
      </x:c>
      <x:c r="C98" s="58" t="str">
        <x:f>IF('迁盟总表'!D98="","",'迁盟总表'!D98)</x:f>
        <x:v>兰亭</x:v>
      </x:c>
      <x:c r="D98" s="27" t="str">
        <x:f>IF('迁盟总表'!E98="","",'迁盟总表'!E98)</x:f>
        <x:v>留盟</x:v>
      </x:c>
      <x:c r="E98" s="40" t="n">
        <x:f>IF('迁盟总表'!Q98="","",'迁盟总表'!Q98)</x:f>
        <x:v>3003852158</x:v>
      </x:c>
      <x:c r="F98" s="40" t="n">
        <x:f>IF('迁盟总表'!R98="","",'迁盟总表'!R98)</x:f>
        <x:v>72105991</x:v>
      </x:c>
      <x:c r="G98" s="40" t="n">
        <x:f>IF('迁盟总表'!S98="","",'迁盟总表'!S98)</x:f>
        <x:v>189965665</x:v>
      </x:c>
      <x:c r="H98" s="37" t="str">
        <x:f>IF('迁盟总表'!H98="","",'迁盟总表'!H98)</x:f>
      </x:c>
      <x:c r="I98" s="37" t="str">
        <x:f>IF('迁盟总表'!I98="","",'迁盟总表'!I98)</x:f>
      </x:c>
      <x:c r="J98" s="40" t="str">
        <x:f>IF('迁盟总表'!J98="","",'迁盟总表'!J98)</x:f>
      </x:c>
      <x:c r="K98" s="40" t="str">
        <x:f>IF('迁盟总表'!K98="","",'迁盟总表'!K98)</x:f>
      </x:c>
      <x:c r="L98" s="40" t="str">
        <x:f>IF('迁盟总表'!L98="","",'迁盟总表'!L98)</x:f>
      </x:c>
      <x:c r="M98" s="40" t="str">
        <x:f>IF('迁盟总表'!M98="","",'迁盟总表'!M98)</x:f>
      </x:c>
      <x:c r="N98" s="40" t="str">
        <x:f>IF('迁盟总表'!N98="","",'迁盟总表'!N98)</x:f>
      </x:c>
      <x:c r="O98" s="40" t="str">
        <x:f>IF('迁盟总表'!O98="","",'迁盟总表'!O98)</x:f>
      </x:c>
      <x:c r="P98" s="40" t="str">
        <x:f>IF('迁盟总表'!P98="","",'迁盟总表'!P98)</x:f>
      </x:c>
      <x:c r="Q98" s="43" t="n">
        <x:f>IF('迁盟总表'!X98="","",'迁盟总表'!X98)</x:f>
        <x:v>68.4</x:v>
      </x:c>
      <x:c r="R98" s="27" t="n">
        <x:f>IF('迁盟总表'!Y98="","",'迁盟总表'!Y98)</x:f>
        <x:v>228</x:v>
      </x:c>
      <x:c r="S98" s="55" t="str">
        <x:f>IF('迁盟总表'!Z98="","",'迁盟总表'!Z98)</x:f>
        <x:v>保留兰亭战斗骨干</x:v>
      </x:c>
    </x:row>
    <x:row r="99" ht="20" customHeight="1">
      <x:c r="A99" s="26" t="str">
        <x:f>IF('迁盟总表'!B99="","",'迁盟总表'!B99)</x:f>
        <x:v>苍耳儿</x:v>
      </x:c>
      <x:c r="B99" s="27" t="str">
        <x:f>IF('迁盟总表'!C99="","",'迁盟总表'!C99)</x:f>
        <x:v>兰亭</x:v>
      </x:c>
      <x:c r="C99" s="58" t="str">
        <x:f>IF('迁盟总表'!D99="","",'迁盟总表'!D99)</x:f>
        <x:v>兰亭</x:v>
      </x:c>
      <x:c r="D99" s="27" t="str">
        <x:f>IF('迁盟总表'!E99="","",'迁盟总表'!E99)</x:f>
        <x:v>留盟</x:v>
      </x:c>
      <x:c r="E99" s="40" t="n">
        <x:f>IF('迁盟总表'!Q99="","",'迁盟总表'!Q99)</x:f>
        <x:v>2375889108</x:v>
      </x:c>
      <x:c r="F99" s="40" t="n">
        <x:f>IF('迁盟总表'!R99="","",'迁盟总表'!R99)</x:f>
        <x:v>73888042</x:v>
      </x:c>
      <x:c r="G99" s="40" t="n">
        <x:f>IF('迁盟总表'!S99="","",'迁盟总表'!S99)</x:f>
        <x:v>223048576</x:v>
      </x:c>
      <x:c r="H99" s="37" t="n">
        <x:f>IF('迁盟总表'!H99="","",'迁盟总表'!H99)</x:f>
        <x:v>25.8</x:v>
      </x:c>
      <x:c r="I99" s="37" t="n">
        <x:f>IF('迁盟总表'!I99="","",'迁盟总表'!I99)</x:f>
        <x:v>25.5</x:v>
      </x:c>
      <x:c r="J99" s="40" t="n">
        <x:f>IF('迁盟总表'!J99="","",'迁盟总表'!J99)</x:f>
        <x:v>630</x:v>
      </x:c>
      <x:c r="K99" s="40" t="n">
        <x:f>IF('迁盟总表'!K99="","",'迁盟总表'!K99)</x:f>
        <x:v>628</x:v>
      </x:c>
      <x:c r="L99" s="40" t="n">
        <x:f>IF('迁盟总表'!L99="","",'迁盟总表'!L99)</x:f>
        <x:v>601</x:v>
      </x:c>
      <x:c r="M99" s="40" t="n">
        <x:f>IF('迁盟总表'!M99="","",'迁盟总表'!M99)</x:f>
        <x:v>526</x:v>
      </x:c>
      <x:c r="N99" s="40" t="n">
        <x:f>IF('迁盟总表'!N99="","",'迁盟总表'!N99)</x:f>
        <x:v>675</x:v>
      </x:c>
      <x:c r="O99" s="40" t="n">
        <x:f>IF('迁盟总表'!O99="","",'迁盟总表'!O99)</x:f>
        <x:v>557</x:v>
      </x:c>
      <x:c r="P99" s="40" t="n">
        <x:f>IF('迁盟总表'!P99="","",'迁盟总表'!P99)</x:f>
        <x:v>3617</x:v>
      </x:c>
      <x:c r="Q99" s="43" t="n">
        <x:f>IF('迁盟总表'!X99="","",'迁盟总表'!X99)</x:f>
        <x:v>68.2</x:v>
      </x:c>
      <x:c r="R99" s="27" t="n">
        <x:f>IF('迁盟总表'!Y99="","",'迁盟总表'!Y99)</x:f>
        <x:v>229</x:v>
      </x:c>
      <x:c r="S99" s="55" t="str">
        <x:f>IF('迁盟总表'!Z99="","",'迁盟总表'!Z99)</x:f>
        <x:v>保留兰亭战斗骨干</x:v>
      </x:c>
    </x:row>
    <x:row r="100" ht="20" customHeight="1">
      <x:c r="A100" s="26" t="str">
        <x:f>IF('迁盟总表'!B100="","",'迁盟总表'!B100)</x:f>
        <x:v>云里雾里</x:v>
      </x:c>
      <x:c r="B100" s="27" t="str">
        <x:f>IF('迁盟总表'!C100="","",'迁盟总表'!C100)</x:f>
        <x:v>兰亭</x:v>
      </x:c>
      <x:c r="C100" s="58" t="str">
        <x:f>IF('迁盟总表'!D100="","",'迁盟总表'!D100)</x:f>
        <x:v>兰亭</x:v>
      </x:c>
      <x:c r="D100" s="27" t="str">
        <x:f>IF('迁盟总表'!E100="","",'迁盟总表'!E100)</x:f>
        <x:v>留盟</x:v>
      </x:c>
      <x:c r="E100" s="40" t="n">
        <x:f>IF('迁盟总表'!Q100="","",'迁盟总表'!Q100)</x:f>
        <x:v>1902946701</x:v>
      </x:c>
      <x:c r="F100" s="40" t="n">
        <x:f>IF('迁盟总表'!R100="","",'迁盟总表'!R100)</x:f>
        <x:v>71073781</x:v>
      </x:c>
      <x:c r="G100" s="40" t="n">
        <x:f>IF('迁盟总表'!S100="","",'迁盟总表'!S100)</x:f>
        <x:v>245324782</x:v>
      </x:c>
      <x:c r="H100" s="37" t="n">
        <x:f>IF('迁盟总表'!H100="","",'迁盟总表'!H100)</x:f>
        <x:v>25.6</x:v>
      </x:c>
      <x:c r="I100" s="37" t="n">
        <x:f>IF('迁盟总表'!I100="","",'迁盟总表'!I100)</x:f>
        <x:v>24.2</x:v>
      </x:c>
      <x:c r="J100" s="40" t="n">
        <x:f>IF('迁盟总表'!J100="","",'迁盟总表'!J100)</x:f>
        <x:v>682</x:v>
      </x:c>
      <x:c r="K100" s="40" t="n">
        <x:f>IF('迁盟总表'!K100="","",'迁盟总表'!K100)</x:f>
        <x:v>724</x:v>
      </x:c>
      <x:c r="L100" s="40" t="n">
        <x:f>IF('迁盟总表'!L100="","",'迁盟总表'!L100)</x:f>
        <x:v>598</x:v>
      </x:c>
      <x:c r="M100" s="40" t="n">
        <x:f>IF('迁盟总表'!M100="","",'迁盟总表'!M100)</x:f>
        <x:v>517</x:v>
      </x:c>
      <x:c r="N100" s="40" t="n">
        <x:f>IF('迁盟总表'!N100="","",'迁盟总表'!N100)</x:f>
        <x:v>654</x:v>
      </x:c>
      <x:c r="O100" s="40" t="n">
        <x:f>IF('迁盟总表'!O100="","",'迁盟总表'!O100)</x:f>
        <x:v>706</x:v>
      </x:c>
      <x:c r="P100" s="40" t="n">
        <x:f>IF('迁盟总表'!P100="","",'迁盟总表'!P100)</x:f>
        <x:v>3881</x:v>
      </x:c>
      <x:c r="Q100" s="43" t="n">
        <x:f>IF('迁盟总表'!X100="","",'迁盟总表'!X100)</x:f>
        <x:v>68.2</x:v>
      </x:c>
      <x:c r="R100" s="27" t="n">
        <x:f>IF('迁盟总表'!Y100="","",'迁盟总表'!Y100)</x:f>
        <x:v>229</x:v>
      </x:c>
      <x:c r="S100" s="55" t="str">
        <x:f>IF('迁盟总表'!Z100="","",'迁盟总表'!Z100)</x:f>
        <x:v>保留兰亭战斗骨干</x:v>
      </x:c>
    </x:row>
    <x:row r="101" ht="20" customHeight="1">
      <x:c r="A101" s="29" t="str">
        <x:f>IF('迁盟总表'!B101="","",'迁盟总表'!B101)</x:f>
        <x:v>叫啥来着</x:v>
      </x:c>
      <x:c r="B101" s="30" t="str">
        <x:f>IF('迁盟总表'!C101="","",'迁盟总表'!C101)</x:f>
        <x:v>兰亭</x:v>
      </x:c>
      <x:c r="C101" s="59" t="str">
        <x:f>IF('迁盟总表'!D101="","",'迁盟总表'!D101)</x:f>
        <x:v>兰亭</x:v>
      </x:c>
      <x:c r="D101" s="30" t="str">
        <x:f>IF('迁盟总表'!E101="","",'迁盟总表'!E101)</x:f>
        <x:v>留盟</x:v>
      </x:c>
      <x:c r="E101" s="41" t="n">
        <x:f>IF('迁盟总表'!Q101="","",'迁盟总表'!Q101)</x:f>
        <x:v>1204856282</x:v>
      </x:c>
      <x:c r="F101" s="41" t="n">
        <x:f>IF('迁盟总表'!R101="","",'迁盟总表'!R101)</x:f>
        <x:v>73126243</x:v>
      </x:c>
      <x:c r="G101" s="41" t="n">
        <x:f>IF('迁盟总表'!S101="","",'迁盟总表'!S101)</x:f>
        <x:v>222975071</x:v>
      </x:c>
      <x:c r="H101" s="38" t="str">
        <x:f>IF('迁盟总表'!H101="","",'迁盟总表'!H101)</x:f>
      </x:c>
      <x:c r="I101" s="38" t="str">
        <x:f>IF('迁盟总表'!I101="","",'迁盟总表'!I101)</x:f>
      </x:c>
      <x:c r="J101" s="41" t="str">
        <x:f>IF('迁盟总表'!J101="","",'迁盟总表'!J101)</x:f>
      </x:c>
      <x:c r="K101" s="41" t="str">
        <x:f>IF('迁盟总表'!K101="","",'迁盟总表'!K101)</x:f>
      </x:c>
      <x:c r="L101" s="41" t="str">
        <x:f>IF('迁盟总表'!L101="","",'迁盟总表'!L101)</x:f>
      </x:c>
      <x:c r="M101" s="41" t="str">
        <x:f>IF('迁盟总表'!M101="","",'迁盟总表'!M101)</x:f>
      </x:c>
      <x:c r="N101" s="41" t="str">
        <x:f>IF('迁盟总表'!N101="","",'迁盟总表'!N101)</x:f>
      </x:c>
      <x:c r="O101" s="41" t="str">
        <x:f>IF('迁盟总表'!O101="","",'迁盟总表'!O101)</x:f>
      </x:c>
      <x:c r="P101" s="41" t="str">
        <x:f>IF('迁盟总表'!P101="","",'迁盟总表'!P101)</x:f>
      </x:c>
      <x:c r="Q101" s="44" t="n">
        <x:f>IF('迁盟总表'!X101="","",'迁盟总表'!X101)</x:f>
        <x:v>68</x:v>
      </x:c>
      <x:c r="R101" s="30" t="n">
        <x:f>IF('迁盟总表'!Y101="","",'迁盟总表'!Y101)</x:f>
        <x:v>235</x:v>
      </x:c>
      <x:c r="S101" s="56" t="str">
        <x:f>IF('迁盟总表'!Z101="","",'迁盟总表'!Z101)</x:f>
        <x:v>保留兰亭战斗骨干</x:v>
      </x:c>
    </x:row>
  </x:sheetData>
  <x:mergeCells>
    <x:mergeCell ref="A1:S1"/>
    <x:mergeCell ref="A2:S2"/>
  </x:mergeCells>
  <x:conditionalFormatting sqref="D5:D101">
    <x:cfRule type="containsText" dxfId="3" priority="1" operator="containsText" text="→"/>
  </x:conditionalFormatting>
  <x:pageMargins left="0.7" right="0.7" top="0.75" bottom="0.75" header="0.3" footer="0.3"/>
  <x:tableParts count="1">
    <x:tablePart xmlns:r="http://schemas.openxmlformats.org/officeDocument/2006/relationships" r:id="R741749e1977a47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5" hidden="0" customWidth="1"/>
    <x:col min="5" max="5" width="16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1" hidden="0" customWidth="1"/>
    <x:col min="17" max="17" width="11" hidden="0" customWidth="1"/>
    <x:col min="18" max="18" width="10" hidden="0" customWidth="1"/>
    <x:col min="19" max="19" width="38" hidden="0" customWidth="1"/>
  </x:cols>
  <x:sheetData>
    <x:row r="1" ht="30" customHeight="1">
      <x:c r="A1" s="3" t="str">
        <x:v>花晨二盟｜97人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1" customHeight="1">
      <x:c r="A2" s="7" t="str">
        <x:v>支援盟：当前盟稳定优先，同时承接容量平衡和部分中高战力成员。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2" customHeight="1">
      <x:c r="A4" s="13" t="str">
        <x:v>成员名称</x:v>
      </x:c>
      <x:c r="B4" s="13" t="str">
        <x:v>当前盟</x:v>
      </x:c>
      <x:c r="C4" s="13" t="str">
        <x:v>建议盟</x:v>
      </x:c>
      <x:c r="D4" s="13" t="str">
        <x:v>迁盟动作</x:v>
      </x:c>
      <x:c r="E4" s="13" t="str">
        <x:v>总功勋</x:v>
      </x:c>
      <x:c r="F4" s="13" t="str">
        <x:v>实力</x:v>
      </x:c>
      <x:c r="G4" s="13" t="str">
        <x:v>战力</x:v>
      </x:c>
      <x:c r="H4" s="13" t="str">
        <x:v>最高集结</x:v>
      </x:c>
      <x:c r="I4" s="13" t="str">
        <x:v>国家队集结</x:v>
      </x:c>
      <x:c r="J4" s="13" t="str">
        <x:v>步防</x:v>
      </x:c>
      <x:c r="K4" s="13" t="str">
        <x:v>步生</x:v>
      </x:c>
      <x:c r="L4" s="13" t="str">
        <x:v>骑攻</x:v>
      </x:c>
      <x:c r="M4" s="13" t="str">
        <x:v>骑破</x:v>
      </x:c>
      <x:c r="N4" s="13" t="str">
        <x:v>弓攻</x:v>
      </x:c>
      <x:c r="O4" s="13" t="str">
        <x:v>弓破</x:v>
      </x:c>
      <x:c r="P4" s="13" t="str">
        <x:v>六维和</x:v>
      </x:c>
      <x:c r="Q4" s="13" t="str">
        <x:v>战斗评分</x:v>
      </x:c>
      <x:c r="R4" s="13" t="str">
        <x:v>战斗排名</x:v>
      </x:c>
      <x:c r="S4" s="13" t="str">
        <x:v>分配理由</x:v>
      </x:c>
    </x:row>
    <x:row r="5" ht="20" customHeight="1">
      <x:c r="A5" s="23" t="str">
        <x:f>IF('迁盟总表'!B102="","",'迁盟总表'!B102)</x:f>
        <x:v>摆烂小伙呀</x:v>
      </x:c>
      <x:c r="B5" s="24" t="str">
        <x:f>IF('迁盟总表'!C102="","",'迁盟总表'!C102)</x:f>
        <x:v>花晨</x:v>
      </x:c>
      <x:c r="C5" s="60" t="str">
        <x:f>IF('迁盟总表'!D102="","",'迁盟总表'!D102)</x:f>
        <x:v>花晨</x:v>
      </x:c>
      <x:c r="D5" s="24" t="str">
        <x:f>IF('迁盟总表'!E102="","",'迁盟总表'!E102)</x:f>
        <x:v>留盟</x:v>
      </x:c>
      <x:c r="E5" s="39" t="n">
        <x:f>IF('迁盟总表'!Q102="","",'迁盟总表'!Q102)</x:f>
        <x:v>6519342098</x:v>
      </x:c>
      <x:c r="F5" s="39" t="n">
        <x:f>IF('迁盟总表'!R102="","",'迁盟总表'!R102)</x:f>
        <x:v>111712032</x:v>
      </x:c>
      <x:c r="G5" s="39" t="n">
        <x:f>IF('迁盟总表'!S102="","",'迁盟总表'!S102)</x:f>
        <x:v>315929005</x:v>
      </x:c>
      <x:c r="H5" s="36" t="str">
        <x:f>IF('迁盟总表'!H102="","",'迁盟总表'!H102)</x:f>
      </x:c>
      <x:c r="I5" s="36" t="str">
        <x:f>IF('迁盟总表'!I102="","",'迁盟总表'!I102)</x:f>
      </x:c>
      <x:c r="J5" s="39" t="str">
        <x:f>IF('迁盟总表'!J102="","",'迁盟总表'!J102)</x:f>
      </x:c>
      <x:c r="K5" s="39" t="str">
        <x:f>IF('迁盟总表'!K102="","",'迁盟总表'!K102)</x:f>
      </x:c>
      <x:c r="L5" s="39" t="str">
        <x:f>IF('迁盟总表'!L102="","",'迁盟总表'!L102)</x:f>
      </x:c>
      <x:c r="M5" s="39" t="str">
        <x:f>IF('迁盟总表'!M102="","",'迁盟总表'!M102)</x:f>
      </x:c>
      <x:c r="N5" s="39" t="str">
        <x:f>IF('迁盟总表'!N102="","",'迁盟总表'!N102)</x:f>
      </x:c>
      <x:c r="O5" s="39" t="str">
        <x:f>IF('迁盟总表'!O102="","",'迁盟总表'!O102)</x:f>
      </x:c>
      <x:c r="P5" s="39" t="str">
        <x:f>IF('迁盟总表'!P102="","",'迁盟总表'!P102)</x:f>
      </x:c>
      <x:c r="Q5" s="42" t="n">
        <x:f>IF('迁盟总表'!X102="","",'迁盟总表'!X102)</x:f>
        <x:v>85.3</x:v>
      </x:c>
      <x:c r="R5" s="24" t="n">
        <x:f>IF('迁盟总表'!Y102="","",'迁盟总表'!Y102)</x:f>
        <x:v>18</x:v>
      </x:c>
      <x:c r="S5" s="54" t="str">
        <x:f>IF('迁盟总表'!Z102="","",'迁盟总表'!Z102)</x:f>
        <x:v>保持当前盟，减少迁移成本</x:v>
      </x:c>
    </x:row>
    <x:row r="6" ht="20" customHeight="1">
      <x:c r="A6" s="26" t="str">
        <x:f>IF('迁盟总表'!B103="","",'迁盟总表'!B103)</x:f>
        <x:v>可爱仔</x:v>
      </x:c>
      <x:c r="B6" s="27" t="str">
        <x:f>IF('迁盟总表'!C103="","",'迁盟总表'!C103)</x:f>
        <x:v>花晨</x:v>
      </x:c>
      <x:c r="C6" s="61" t="str">
        <x:f>IF('迁盟总表'!D103="","",'迁盟总表'!D103)</x:f>
        <x:v>花晨</x:v>
      </x:c>
      <x:c r="D6" s="27" t="str">
        <x:f>IF('迁盟总表'!E103="","",'迁盟总表'!E103)</x:f>
        <x:v>留盟</x:v>
      </x:c>
      <x:c r="E6" s="40" t="n">
        <x:f>IF('迁盟总表'!Q103="","",'迁盟总表'!Q103)</x:f>
        <x:v>7490256574</x:v>
      </x:c>
      <x:c r="F6" s="40" t="n">
        <x:f>IF('迁盟总表'!R103="","",'迁盟总表'!R103)</x:f>
        <x:v>95153540</x:v>
      </x:c>
      <x:c r="G6" s="40" t="n">
        <x:f>IF('迁盟总表'!S103="","",'迁盟总表'!S103)</x:f>
        <x:v>367007309</x:v>
      </x:c>
      <x:c r="H6" s="37" t="str">
        <x:f>IF('迁盟总表'!H103="","",'迁盟总表'!H103)</x:f>
      </x:c>
      <x:c r="I6" s="37" t="str">
        <x:f>IF('迁盟总表'!I103="","",'迁盟总表'!I103)</x:f>
      </x:c>
      <x:c r="J6" s="40" t="str">
        <x:f>IF('迁盟总表'!J103="","",'迁盟总表'!J103)</x:f>
      </x:c>
      <x:c r="K6" s="40" t="str">
        <x:f>IF('迁盟总表'!K103="","",'迁盟总表'!K103)</x:f>
      </x:c>
      <x:c r="L6" s="40" t="str">
        <x:f>IF('迁盟总表'!L103="","",'迁盟总表'!L103)</x:f>
      </x:c>
      <x:c r="M6" s="40" t="str">
        <x:f>IF('迁盟总表'!M103="","",'迁盟总表'!M103)</x:f>
      </x:c>
      <x:c r="N6" s="40" t="str">
        <x:f>IF('迁盟总表'!N103="","",'迁盟总表'!N103)</x:f>
      </x:c>
      <x:c r="O6" s="40" t="str">
        <x:f>IF('迁盟总表'!O103="","",'迁盟总表'!O103)</x:f>
      </x:c>
      <x:c r="P6" s="40" t="str">
        <x:f>IF('迁盟总表'!P103="","",'迁盟总表'!P103)</x:f>
      </x:c>
      <x:c r="Q6" s="43" t="n">
        <x:f>IF('迁盟总表'!X103="","",'迁盟总表'!X103)</x:f>
        <x:v>82.5</x:v>
      </x:c>
      <x:c r="R6" s="27" t="n">
        <x:f>IF('迁盟总表'!Y103="","",'迁盟总表'!Y103)</x:f>
        <x:v>29</x:v>
      </x:c>
      <x:c r="S6" s="55" t="str">
        <x:f>IF('迁盟总表'!Z103="","",'迁盟总表'!Z103)</x:f>
        <x:v>保持当前盟，减少迁移成本</x:v>
      </x:c>
    </x:row>
    <x:row r="7" ht="20" customHeight="1">
      <x:c r="A7" s="26" t="str">
        <x:f>IF('迁盟总表'!B104="","",'迁盟总表'!B104)</x:f>
        <x:v>野小马001</x:v>
      </x:c>
      <x:c r="B7" s="27" t="str">
        <x:f>IF('迁盟总表'!C104="","",'迁盟总表'!C104)</x:f>
        <x:v>花晨</x:v>
      </x:c>
      <x:c r="C7" s="61" t="str">
        <x:f>IF('迁盟总表'!D104="","",'迁盟总表'!D104)</x:f>
        <x:v>花晨</x:v>
      </x:c>
      <x:c r="D7" s="27" t="str">
        <x:f>IF('迁盟总表'!E104="","",'迁盟总表'!E104)</x:f>
        <x:v>留盟</x:v>
      </x:c>
      <x:c r="E7" s="40" t="n">
        <x:f>IF('迁盟总表'!Q104="","",'迁盟总表'!Q104)</x:f>
        <x:v>3015477890</x:v>
      </x:c>
      <x:c r="F7" s="40" t="n">
        <x:f>IF('迁盟总表'!R104="","",'迁盟总表'!R104)</x:f>
        <x:v>99302905</x:v>
      </x:c>
      <x:c r="G7" s="40" t="n">
        <x:f>IF('迁盟总表'!S104="","",'迁盟总表'!S104)</x:f>
        <x:v>370820051</x:v>
      </x:c>
      <x:c r="H7" s="37" t="n">
        <x:f>IF('迁盟总表'!H104="","",'迁盟总表'!H104)</x:f>
        <x:v>28.8</x:v>
      </x:c>
      <x:c r="I7" s="37" t="n">
        <x:f>IF('迁盟总表'!I104="","",'迁盟总表'!I104)</x:f>
        <x:v>28.8</x:v>
      </x:c>
      <x:c r="J7" s="40" t="n">
        <x:f>IF('迁盟总表'!J104="","",'迁盟总表'!J104)</x:f>
        <x:v>800</x:v>
      </x:c>
      <x:c r="K7" s="40" t="n">
        <x:f>IF('迁盟总表'!K104="","",'迁盟总表'!K104)</x:f>
        <x:v>961</x:v>
      </x:c>
      <x:c r="L7" s="40" t="n">
        <x:f>IF('迁盟总表'!L104="","",'迁盟总表'!L104)</x:f>
        <x:v>702</x:v>
      </x:c>
      <x:c r="M7" s="40" t="n">
        <x:f>IF('迁盟总表'!M104="","",'迁盟总表'!M104)</x:f>
        <x:v>565</x:v>
      </x:c>
      <x:c r="N7" s="40" t="n">
        <x:f>IF('迁盟总表'!N104="","",'迁盟总表'!N104)</x:f>
        <x:v>690</x:v>
      </x:c>
      <x:c r="O7" s="40" t="n">
        <x:f>IF('迁盟总表'!O104="","",'迁盟总表'!O104)</x:f>
        <x:v>780</x:v>
      </x:c>
      <x:c r="P7" s="40" t="n">
        <x:f>IF('迁盟总表'!P104="","",'迁盟总表'!P104)</x:f>
        <x:v>4498</x:v>
      </x:c>
      <x:c r="Q7" s="43" t="n">
        <x:f>IF('迁盟总表'!X104="","",'迁盟总表'!X104)</x:f>
        <x:v>80.9</x:v>
      </x:c>
      <x:c r="R7" s="27" t="n">
        <x:f>IF('迁盟总表'!Y104="","",'迁盟总表'!Y104)</x:f>
        <x:v>36</x:v>
      </x:c>
      <x:c r="S7" s="55" t="str">
        <x:f>IF('迁盟总表'!Z104="","",'迁盟总表'!Z104)</x:f>
        <x:v>保持当前盟，减少迁移成本</x:v>
      </x:c>
    </x:row>
    <x:row r="8" ht="20" customHeight="1">
      <x:c r="A8" s="26" t="str">
        <x:f>IF('迁盟总表'!B105="","",'迁盟总表'!B105)</x:f>
        <x:v>厌世小蘑菇</x:v>
      </x:c>
      <x:c r="B8" s="27" t="str">
        <x:f>IF('迁盟总表'!C105="","",'迁盟总表'!C105)</x:f>
        <x:v>花晨</x:v>
      </x:c>
      <x:c r="C8" s="61" t="str">
        <x:f>IF('迁盟总表'!D105="","",'迁盟总表'!D105)</x:f>
        <x:v>花晨</x:v>
      </x:c>
      <x:c r="D8" s="27" t="str">
        <x:f>IF('迁盟总表'!E105="","",'迁盟总表'!E105)</x:f>
        <x:v>留盟</x:v>
      </x:c>
      <x:c r="E8" s="40" t="n">
        <x:f>IF('迁盟总表'!Q105="","",'迁盟总表'!Q105)</x:f>
        <x:v>12632400144</x:v>
      </x:c>
      <x:c r="F8" s="40" t="n">
        <x:f>IF('迁盟总表'!R105="","",'迁盟总表'!R105)</x:f>
        <x:v>91384160</x:v>
      </x:c>
      <x:c r="G8" s="40" t="n">
        <x:f>IF('迁盟总表'!S105="","",'迁盟总表'!S105)</x:f>
        <x:v>257626912</x:v>
      </x:c>
      <x:c r="H8" s="37" t="str">
        <x:f>IF('迁盟总表'!H105="","",'迁盟总表'!H105)</x:f>
      </x:c>
      <x:c r="I8" s="37" t="str">
        <x:f>IF('迁盟总表'!I105="","",'迁盟总表'!I105)</x:f>
      </x:c>
      <x:c r="J8" s="40" t="str">
        <x:f>IF('迁盟总表'!J105="","",'迁盟总表'!J105)</x:f>
      </x:c>
      <x:c r="K8" s="40" t="str">
        <x:f>IF('迁盟总表'!K105="","",'迁盟总表'!K105)</x:f>
      </x:c>
      <x:c r="L8" s="40" t="str">
        <x:f>IF('迁盟总表'!L105="","",'迁盟总表'!L105)</x:f>
      </x:c>
      <x:c r="M8" s="40" t="str">
        <x:f>IF('迁盟总表'!M105="","",'迁盟总表'!M105)</x:f>
      </x:c>
      <x:c r="N8" s="40" t="str">
        <x:f>IF('迁盟总表'!N105="","",'迁盟总表'!N105)</x:f>
      </x:c>
      <x:c r="O8" s="40" t="str">
        <x:f>IF('迁盟总表'!O105="","",'迁盟总表'!O105)</x:f>
      </x:c>
      <x:c r="P8" s="40" t="str">
        <x:f>IF('迁盟总表'!P105="","",'迁盟总表'!P105)</x:f>
      </x:c>
      <x:c r="Q8" s="43" t="n">
        <x:f>IF('迁盟总表'!X105="","",'迁盟总表'!X105)</x:f>
        <x:v>78.8</x:v>
      </x:c>
      <x:c r="R8" s="27" t="n">
        <x:f>IF('迁盟总表'!Y105="","",'迁盟总表'!Y105)</x:f>
        <x:v>45</x:v>
      </x:c>
      <x:c r="S8" s="55" t="str">
        <x:f>IF('迁盟总表'!Z105="","",'迁盟总表'!Z105)</x:f>
        <x:v>保持当前盟，减少迁移成本</x:v>
      </x:c>
    </x:row>
    <x:row r="9" ht="20" customHeight="1">
      <x:c r="A9" s="26" t="str">
        <x:f>IF('迁盟总表'!B106="","",'迁盟总表'!B106)</x:f>
        <x:v>笑吻红尘客栈</x:v>
      </x:c>
      <x:c r="B9" s="27" t="str">
        <x:f>IF('迁盟总表'!C106="","",'迁盟总表'!C106)</x:f>
        <x:v>花晨</x:v>
      </x:c>
      <x:c r="C9" s="61" t="str">
        <x:f>IF('迁盟总表'!D106="","",'迁盟总表'!D106)</x:f>
        <x:v>花晨</x:v>
      </x:c>
      <x:c r="D9" s="27" t="str">
        <x:f>IF('迁盟总表'!E106="","",'迁盟总表'!E106)</x:f>
        <x:v>留盟</x:v>
      </x:c>
      <x:c r="E9" s="40" t="n">
        <x:f>IF('迁盟总表'!Q106="","",'迁盟总表'!Q106)</x:f>
        <x:v>5004989952</x:v>
      </x:c>
      <x:c r="F9" s="40" t="n">
        <x:f>IF('迁盟总表'!R106="","",'迁盟总表'!R106)</x:f>
        <x:v>96363986</x:v>
      </x:c>
      <x:c r="G9" s="40" t="n">
        <x:f>IF('迁盟总表'!S106="","",'迁盟总表'!S106)</x:f>
        <x:v>299824062</x:v>
      </x:c>
      <x:c r="H9" s="37" t="n">
        <x:f>IF('迁盟总表'!H106="","",'迁盟总表'!H106)</x:f>
        <x:v>26.2</x:v>
      </x:c>
      <x:c r="I9" s="37" t="n">
        <x:f>IF('迁盟总表'!I106="","",'迁盟总表'!I106)</x:f>
        <x:v>25.3</x:v>
      </x:c>
      <x:c r="J9" s="40" t="n">
        <x:f>IF('迁盟总表'!J106="","",'迁盟总表'!J106)</x:f>
        <x:v>831</x:v>
      </x:c>
      <x:c r="K9" s="40" t="n">
        <x:f>IF('迁盟总表'!K106="","",'迁盟总表'!K106)</x:f>
        <x:v>866</x:v>
      </x:c>
      <x:c r="L9" s="40" t="n">
        <x:f>IF('迁盟总表'!L106="","",'迁盟总表'!L106)</x:f>
        <x:v>641</x:v>
      </x:c>
      <x:c r="M9" s="40" t="n">
        <x:f>IF('迁盟总表'!M106="","",'迁盟总表'!M106)</x:f>
        <x:v>606</x:v>
      </x:c>
      <x:c r="N9" s="40" t="n">
        <x:f>IF('迁盟总表'!N106="","",'迁盟总表'!N106)</x:f>
        <x:v>639</x:v>
      </x:c>
      <x:c r="O9" s="40" t="n">
        <x:f>IF('迁盟总表'!O106="","",'迁盟总表'!O106)</x:f>
        <x:v>775</x:v>
      </x:c>
      <x:c r="P9" s="40" t="n">
        <x:f>IF('迁盟总表'!P106="","",'迁盟总表'!P106)</x:f>
        <x:v>4358</x:v>
      </x:c>
      <x:c r="Q9" s="43" t="n">
        <x:f>IF('迁盟总表'!X106="","",'迁盟总表'!X106)</x:f>
        <x:v>78.7</x:v>
      </x:c>
      <x:c r="R9" s="27" t="n">
        <x:f>IF('迁盟总表'!Y106="","",'迁盟总表'!Y106)</x:f>
        <x:v>48</x:v>
      </x:c>
      <x:c r="S9" s="55" t="str">
        <x:f>IF('迁盟总表'!Z106="","",'迁盟总表'!Z106)</x:f>
        <x:v>保持当前盟，减少迁移成本</x:v>
      </x:c>
    </x:row>
    <x:row r="10" ht="20" customHeight="1">
      <x:c r="A10" s="26" t="str">
        <x:f>IF('迁盟总表'!B107="","",'迁盟总表'!B107)</x:f>
        <x:v>汉堡包#937</x:v>
      </x:c>
      <x:c r="B10" s="27" t="str">
        <x:f>IF('迁盟总表'!C107="","",'迁盟总表'!C107)</x:f>
        <x:v>花晨</x:v>
      </x:c>
      <x:c r="C10" s="61" t="str">
        <x:f>IF('迁盟总表'!D107="","",'迁盟总表'!D107)</x:f>
        <x:v>花晨</x:v>
      </x:c>
      <x:c r="D10" s="27" t="str">
        <x:f>IF('迁盟总表'!E107="","",'迁盟总表'!E107)</x:f>
        <x:v>留盟</x:v>
      </x:c>
      <x:c r="E10" s="40" t="n">
        <x:f>IF('迁盟总表'!Q107="","",'迁盟总表'!Q107)</x:f>
        <x:v>9944455120</x:v>
      </x:c>
      <x:c r="F10" s="40" t="n">
        <x:f>IF('迁盟总表'!R107="","",'迁盟总表'!R107)</x:f>
        <x:v>89128557</x:v>
      </x:c>
      <x:c r="G10" s="40" t="n">
        <x:f>IF('迁盟总表'!S107="","",'迁盟总表'!S107)</x:f>
        <x:v>287691276</x:v>
      </x:c>
      <x:c r="H10" s="37" t="n">
        <x:f>IF('迁盟总表'!H107="","",'迁盟总表'!H107)</x:f>
        <x:v>23.7</x:v>
      </x:c>
      <x:c r="I10" s="37" t="n">
        <x:f>IF('迁盟总表'!I107="","",'迁盟总表'!I107)</x:f>
        <x:v>23.1</x:v>
      </x:c>
      <x:c r="J10" s="40" t="n">
        <x:f>IF('迁盟总表'!J107="","",'迁盟总表'!J107)</x:f>
        <x:v>767</x:v>
      </x:c>
      <x:c r="K10" s="40" t="n">
        <x:f>IF('迁盟总表'!K107="","",'迁盟总表'!K107)</x:f>
        <x:v>1034</x:v>
      </x:c>
      <x:c r="L10" s="40" t="n">
        <x:f>IF('迁盟总表'!L107="","",'迁盟总表'!L107)</x:f>
        <x:v>682</x:v>
      </x:c>
      <x:c r="M10" s="40" t="n">
        <x:f>IF('迁盟总表'!M107="","",'迁盟总表'!M107)</x:f>
        <x:v>800</x:v>
      </x:c>
      <x:c r="N10" s="40" t="n">
        <x:f>IF('迁盟总表'!N107="","",'迁盟总表'!N107)</x:f>
        <x:v>763</x:v>
      </x:c>
      <x:c r="O10" s="40" t="n">
        <x:f>IF('迁盟总表'!O107="","",'迁盟总表'!O107)</x:f>
        <x:v>918</x:v>
      </x:c>
      <x:c r="P10" s="40" t="n">
        <x:f>IF('迁盟总表'!P107="","",'迁盟总表'!P107)</x:f>
        <x:v>4964</x:v>
      </x:c>
      <x:c r="Q10" s="43" t="n">
        <x:f>IF('迁盟总表'!X107="","",'迁盟总表'!X107)</x:f>
        <x:v>78.6</x:v>
      </x:c>
      <x:c r="R10" s="27" t="n">
        <x:f>IF('迁盟总表'!Y107="","",'迁盟总表'!Y107)</x:f>
        <x:v>49</x:v>
      </x:c>
      <x:c r="S10" s="55" t="str">
        <x:f>IF('迁盟总表'!Z107="","",'迁盟总表'!Z107)</x:f>
        <x:v>保持当前盟，减少迁移成本</x:v>
      </x:c>
    </x:row>
    <x:row r="11" ht="20" customHeight="1">
      <x:c r="A11" s="26" t="str">
        <x:f>IF('迁盟总表'!B108="","",'迁盟总表'!B108)</x:f>
        <x:v>缺啥来啥</x:v>
      </x:c>
      <x:c r="B11" s="27" t="str">
        <x:f>IF('迁盟总表'!C108="","",'迁盟总表'!C108)</x:f>
        <x:v>花晨</x:v>
      </x:c>
      <x:c r="C11" s="61" t="str">
        <x:f>IF('迁盟总表'!D108="","",'迁盟总表'!D108)</x:f>
        <x:v>花晨</x:v>
      </x:c>
      <x:c r="D11" s="27" t="str">
        <x:f>IF('迁盟总表'!E108="","",'迁盟总表'!E108)</x:f>
        <x:v>留盟</x:v>
      </x:c>
      <x:c r="E11" s="40" t="n">
        <x:f>IF('迁盟总表'!Q108="","",'迁盟总表'!Q108)</x:f>
        <x:v>1779340202</x:v>
      </x:c>
      <x:c r="F11" s="40" t="n">
        <x:f>IF('迁盟总表'!R108="","",'迁盟总表'!R108)</x:f>
        <x:v>92927848</x:v>
      </x:c>
      <x:c r="G11" s="40" t="n">
        <x:f>IF('迁盟总表'!S108="","",'迁盟总表'!S108)</x:f>
        <x:v>347777515</x:v>
      </x:c>
      <x:c r="H11" s="37" t="str">
        <x:f>IF('迁盟总表'!H108="","",'迁盟总表'!H108)</x:f>
      </x:c>
      <x:c r="I11" s="37" t="str">
        <x:f>IF('迁盟总表'!I108="","",'迁盟总表'!I108)</x:f>
      </x:c>
      <x:c r="J11" s="40" t="str">
        <x:f>IF('迁盟总表'!J108="","",'迁盟总表'!J108)</x:f>
      </x:c>
      <x:c r="K11" s="40" t="str">
        <x:f>IF('迁盟总表'!K108="","",'迁盟总表'!K108)</x:f>
      </x:c>
      <x:c r="L11" s="40" t="str">
        <x:f>IF('迁盟总表'!L108="","",'迁盟总表'!L108)</x:f>
      </x:c>
      <x:c r="M11" s="40" t="str">
        <x:f>IF('迁盟总表'!M108="","",'迁盟总表'!M108)</x:f>
      </x:c>
      <x:c r="N11" s="40" t="str">
        <x:f>IF('迁盟总表'!N108="","",'迁盟总表'!N108)</x:f>
      </x:c>
      <x:c r="O11" s="40" t="str">
        <x:f>IF('迁盟总表'!O108="","",'迁盟总表'!O108)</x:f>
      </x:c>
      <x:c r="P11" s="40" t="str">
        <x:f>IF('迁盟总表'!P108="","",'迁盟总表'!P108)</x:f>
      </x:c>
      <x:c r="Q11" s="43" t="n">
        <x:f>IF('迁盟总表'!X108="","",'迁盟总表'!X108)</x:f>
        <x:v>78.5</x:v>
      </x:c>
      <x:c r="R11" s="27" t="n">
        <x:f>IF('迁盟总表'!Y108="","",'迁盟总表'!Y108)</x:f>
        <x:v>52</x:v>
      </x:c>
      <x:c r="S11" s="55" t="str">
        <x:f>IF('迁盟总表'!Z108="","",'迁盟总表'!Z108)</x:f>
        <x:v>保持当前盟，减少迁移成本</x:v>
      </x:c>
    </x:row>
    <x:row r="12" ht="20" customHeight="1">
      <x:c r="A12" s="26" t="str">
        <x:f>IF('迁盟总表'!B109="","",'迁盟总表'!B109)</x:f>
        <x:v>空山居</x:v>
      </x:c>
      <x:c r="B12" s="27" t="str">
        <x:f>IF('迁盟总表'!C109="","",'迁盟总表'!C109)</x:f>
        <x:v>花晨</x:v>
      </x:c>
      <x:c r="C12" s="61" t="str">
        <x:f>IF('迁盟总表'!D109="","",'迁盟总表'!D109)</x:f>
        <x:v>花晨</x:v>
      </x:c>
      <x:c r="D12" s="27" t="str">
        <x:f>IF('迁盟总表'!E109="","",'迁盟总表'!E109)</x:f>
        <x:v>留盟</x:v>
      </x:c>
      <x:c r="E12" s="40" t="n">
        <x:f>IF('迁盟总表'!Q109="","",'迁盟总表'!Q109)</x:f>
        <x:v>2574588950</x:v>
      </x:c>
      <x:c r="F12" s="40" t="n">
        <x:f>IF('迁盟总表'!R109="","",'迁盟总表'!R109)</x:f>
        <x:v>96963031</x:v>
      </x:c>
      <x:c r="G12" s="40" t="n">
        <x:f>IF('迁盟总表'!S109="","",'迁盟总表'!S109)</x:f>
        <x:v>309618614</x:v>
      </x:c>
      <x:c r="H12" s="37" t="n">
        <x:f>IF('迁盟总表'!H109="","",'迁盟总表'!H109)</x:f>
        <x:v>28.6</x:v>
      </x:c>
      <x:c r="I12" s="37" t="n">
        <x:f>IF('迁盟总表'!I109="","",'迁盟总表'!I109)</x:f>
        <x:v>28.6</x:v>
      </x:c>
      <x:c r="J12" s="40" t="n">
        <x:f>IF('迁盟总表'!J109="","",'迁盟总表'!J109)</x:f>
        <x:v>832</x:v>
      </x:c>
      <x:c r="K12" s="40" t="n">
        <x:f>IF('迁盟总表'!K109="","",'迁盟总表'!K109)</x:f>
        <x:v>800</x:v>
      </x:c>
      <x:c r="L12" s="40" t="n">
        <x:f>IF('迁盟总表'!L109="","",'迁盟总表'!L109)</x:f>
        <x:v>701</x:v>
      </x:c>
      <x:c r="M12" s="40" t="n">
        <x:f>IF('迁盟总表'!M109="","",'迁盟总表'!M109)</x:f>
        <x:v>669</x:v>
      </x:c>
      <x:c r="N12" s="40" t="n">
        <x:f>IF('迁盟总表'!N109="","",'迁盟总表'!N109)</x:f>
        <x:v>753</x:v>
      </x:c>
      <x:c r="O12" s="40" t="n">
        <x:f>IF('迁盟总表'!O109="","",'迁盟总表'!O109)</x:f>
        <x:v>773</x:v>
      </x:c>
      <x:c r="P12" s="40" t="n">
        <x:f>IF('迁盟总表'!P109="","",'迁盟总表'!P109)</x:f>
        <x:v>4528</x:v>
      </x:c>
      <x:c r="Q12" s="43" t="n">
        <x:f>IF('迁盟总表'!X109="","",'迁盟总表'!X109)</x:f>
        <x:v>78.3</x:v>
      </x:c>
      <x:c r="R12" s="27" t="n">
        <x:f>IF('迁盟总表'!Y109="","",'迁盟总表'!Y109)</x:f>
        <x:v>54</x:v>
      </x:c>
      <x:c r="S12" s="55" t="str">
        <x:f>IF('迁盟总表'!Z109="","",'迁盟总表'!Z109)</x:f>
        <x:v>保持当前盟，减少迁移成本</x:v>
      </x:c>
    </x:row>
    <x:row r="13" ht="20" customHeight="1">
      <x:c r="A13" s="26" t="str">
        <x:f>IF('迁盟总表'!B110="","",'迁盟总表'!B110)</x:f>
        <x:v>独卧血月醉江湖</x:v>
      </x:c>
      <x:c r="B13" s="27" t="str">
        <x:f>IF('迁盟总表'!C110="","",'迁盟总表'!C110)</x:f>
        <x:v>花晨</x:v>
      </x:c>
      <x:c r="C13" s="61" t="str">
        <x:f>IF('迁盟总表'!D110="","",'迁盟总表'!D110)</x:f>
        <x:v>花晨</x:v>
      </x:c>
      <x:c r="D13" s="27" t="str">
        <x:f>IF('迁盟总表'!E110="","",'迁盟总表'!E110)</x:f>
        <x:v>留盟</x:v>
      </x:c>
      <x:c r="E13" s="40" t="n">
        <x:f>IF('迁盟总表'!Q110="","",'迁盟总表'!Q110)</x:f>
        <x:v>4364242710</x:v>
      </x:c>
      <x:c r="F13" s="40" t="n">
        <x:f>IF('迁盟总表'!R110="","",'迁盟总表'!R110)</x:f>
        <x:v>91907012</x:v>
      </x:c>
      <x:c r="G13" s="40" t="n">
        <x:f>IF('迁盟总表'!S110="","",'迁盟总表'!S110)</x:f>
        <x:v>332679739</x:v>
      </x:c>
      <x:c r="H13" s="37" t="n">
        <x:f>IF('迁盟总表'!H110="","",'迁盟总表'!H110)</x:f>
        <x:v>28.8</x:v>
      </x:c>
      <x:c r="I13" s="37" t="n">
        <x:f>IF('迁盟总表'!I110="","",'迁盟总表'!I110)</x:f>
        <x:v>19.5</x:v>
      </x:c>
      <x:c r="J13" s="40" t="n">
        <x:f>IF('迁盟总表'!J110="","",'迁盟总表'!J110)</x:f>
        <x:v>784</x:v>
      </x:c>
      <x:c r="K13" s="40" t="n">
        <x:f>IF('迁盟总表'!K110="","",'迁盟总表'!K110)</x:f>
        <x:v>804</x:v>
      </x:c>
      <x:c r="L13" s="40" t="n">
        <x:f>IF('迁盟总表'!L110="","",'迁盟总表'!L110)</x:f>
        <x:v>701</x:v>
      </x:c>
      <x:c r="M13" s="40" t="n">
        <x:f>IF('迁盟总表'!M110="","",'迁盟总表'!M110)</x:f>
        <x:v>620</x:v>
      </x:c>
      <x:c r="N13" s="40" t="n">
        <x:f>IF('迁盟总表'!N110="","",'迁盟总表'!N110)</x:f>
        <x:v>698</x:v>
      </x:c>
      <x:c r="O13" s="40" t="n">
        <x:f>IF('迁盟总表'!O110="","",'迁盟总表'!O110)</x:f>
        <x:v>746</x:v>
      </x:c>
      <x:c r="P13" s="40" t="n">
        <x:f>IF('迁盟总表'!P110="","",'迁盟总表'!P110)</x:f>
        <x:v>4353</x:v>
      </x:c>
      <x:c r="Q13" s="43" t="n">
        <x:f>IF('迁盟总表'!X110="","",'迁盟总表'!X110)</x:f>
        <x:v>78.3</x:v>
      </x:c>
      <x:c r="R13" s="27" t="n">
        <x:f>IF('迁盟总表'!Y110="","",'迁盟总表'!Y110)</x:f>
        <x:v>54</x:v>
      </x:c>
      <x:c r="S13" s="55" t="str">
        <x:f>IF('迁盟总表'!Z110="","",'迁盟总表'!Z110)</x:f>
        <x:v>保持当前盟，减少迁移成本</x:v>
      </x:c>
    </x:row>
    <x:row r="14" ht="20" customHeight="1">
      <x:c r="A14" s="26" t="str">
        <x:f>IF('迁盟总表'!B111="","",'迁盟总表'!B111)</x:f>
        <x:v>罗周周</x:v>
      </x:c>
      <x:c r="B14" s="27" t="str">
        <x:f>IF('迁盟总表'!C111="","",'迁盟总表'!C111)</x:f>
        <x:v>花晨</x:v>
      </x:c>
      <x:c r="C14" s="61" t="str">
        <x:f>IF('迁盟总表'!D111="","",'迁盟总表'!D111)</x:f>
        <x:v>花晨</x:v>
      </x:c>
      <x:c r="D14" s="27" t="str">
        <x:f>IF('迁盟总表'!E111="","",'迁盟总表'!E111)</x:f>
        <x:v>留盟</x:v>
      </x:c>
      <x:c r="E14" s="40" t="n">
        <x:f>IF('迁盟总表'!Q111="","",'迁盟总表'!Q111)</x:f>
        <x:v>2366932584</x:v>
      </x:c>
      <x:c r="F14" s="40" t="n">
        <x:f>IF('迁盟总表'!R111="","",'迁盟总表'!R111)</x:f>
        <x:v>90970933</x:v>
      </x:c>
      <x:c r="G14" s="40" t="n">
        <x:f>IF('迁盟总表'!S111="","",'迁盟总表'!S111)</x:f>
        <x:v>333142825</x:v>
      </x:c>
      <x:c r="H14" s="37" t="str">
        <x:f>IF('迁盟总表'!H111="","",'迁盟总表'!H111)</x:f>
      </x:c>
      <x:c r="I14" s="37" t="str">
        <x:f>IF('迁盟总表'!I111="","",'迁盟总表'!I111)</x:f>
      </x:c>
      <x:c r="J14" s="40" t="str">
        <x:f>IF('迁盟总表'!J111="","",'迁盟总表'!J111)</x:f>
      </x:c>
      <x:c r="K14" s="40" t="str">
        <x:f>IF('迁盟总表'!K111="","",'迁盟总表'!K111)</x:f>
      </x:c>
      <x:c r="L14" s="40" t="str">
        <x:f>IF('迁盟总表'!L111="","",'迁盟总表'!L111)</x:f>
      </x:c>
      <x:c r="M14" s="40" t="str">
        <x:f>IF('迁盟总表'!M111="","",'迁盟总表'!M111)</x:f>
      </x:c>
      <x:c r="N14" s="40" t="str">
        <x:f>IF('迁盟总表'!N111="","",'迁盟总表'!N111)</x:f>
      </x:c>
      <x:c r="O14" s="40" t="str">
        <x:f>IF('迁盟总表'!O111="","",'迁盟总表'!O111)</x:f>
      </x:c>
      <x:c r="P14" s="40" t="str">
        <x:f>IF('迁盟总表'!P111="","",'迁盟总表'!P111)</x:f>
      </x:c>
      <x:c r="Q14" s="43" t="n">
        <x:f>IF('迁盟总表'!X111="","",'迁盟总表'!X111)</x:f>
        <x:v>78</x:v>
      </x:c>
      <x:c r="R14" s="27" t="n">
        <x:f>IF('迁盟总表'!Y111="","",'迁盟总表'!Y111)</x:f>
        <x:v>58</x:v>
      </x:c>
      <x:c r="S14" s="55" t="str">
        <x:f>IF('迁盟总表'!Z111="","",'迁盟总表'!Z111)</x:f>
        <x:v>保持当前盟，减少迁移成本</x:v>
      </x:c>
    </x:row>
    <x:row r="15" ht="20" customHeight="1">
      <x:c r="A15" s="26" t="str">
        <x:f>IF('迁盟总表'!B112="","",'迁盟总表'!B112)</x:f>
        <x:v>风清云</x:v>
      </x:c>
      <x:c r="B15" s="27" t="str">
        <x:f>IF('迁盟总表'!C112="","",'迁盟总表'!C112)</x:f>
        <x:v>花晨</x:v>
      </x:c>
      <x:c r="C15" s="61" t="str">
        <x:f>IF('迁盟总表'!D112="","",'迁盟总表'!D112)</x:f>
        <x:v>花晨</x:v>
      </x:c>
      <x:c r="D15" s="27" t="str">
        <x:f>IF('迁盟总表'!E112="","",'迁盟总表'!E112)</x:f>
        <x:v>留盟</x:v>
      </x:c>
      <x:c r="E15" s="40" t="n">
        <x:f>IF('迁盟总表'!Q112="","",'迁盟总表'!Q112)</x:f>
        <x:v>4819139876</x:v>
      </x:c>
      <x:c r="F15" s="40" t="n">
        <x:f>IF('迁盟总表'!R112="","",'迁盟总表'!R112)</x:f>
        <x:v>95455616</x:v>
      </x:c>
      <x:c r="G15" s="40" t="n">
        <x:f>IF('迁盟总表'!S112="","",'迁盟总表'!S112)</x:f>
        <x:v>250541710</x:v>
      </x:c>
      <x:c r="H15" s="37" t="str">
        <x:f>IF('迁盟总表'!H112="","",'迁盟总表'!H112)</x:f>
      </x:c>
      <x:c r="I15" s="37" t="str">
        <x:f>IF('迁盟总表'!I112="","",'迁盟总表'!I112)</x:f>
      </x:c>
      <x:c r="J15" s="40" t="str">
        <x:f>IF('迁盟总表'!J112="","",'迁盟总表'!J112)</x:f>
      </x:c>
      <x:c r="K15" s="40" t="str">
        <x:f>IF('迁盟总表'!K112="","",'迁盟总表'!K112)</x:f>
      </x:c>
      <x:c r="L15" s="40" t="str">
        <x:f>IF('迁盟总表'!L112="","",'迁盟总表'!L112)</x:f>
      </x:c>
      <x:c r="M15" s="40" t="str">
        <x:f>IF('迁盟总表'!M112="","",'迁盟总表'!M112)</x:f>
      </x:c>
      <x:c r="N15" s="40" t="str">
        <x:f>IF('迁盟总表'!N112="","",'迁盟总表'!N112)</x:f>
      </x:c>
      <x:c r="O15" s="40" t="str">
        <x:f>IF('迁盟总表'!O112="","",'迁盟总表'!O112)</x:f>
      </x:c>
      <x:c r="P15" s="40" t="str">
        <x:f>IF('迁盟总表'!P112="","",'迁盟总表'!P112)</x:f>
      </x:c>
      <x:c r="Q15" s="43" t="n">
        <x:f>IF('迁盟总表'!X112="","",'迁盟总表'!X112)</x:f>
        <x:v>77.9</x:v>
      </x:c>
      <x:c r="R15" s="27" t="n">
        <x:f>IF('迁盟总表'!Y112="","",'迁盟总表'!Y112)</x:f>
        <x:v>59</x:v>
      </x:c>
      <x:c r="S15" s="55" t="str">
        <x:f>IF('迁盟总表'!Z112="","",'迁盟总表'!Z112)</x:f>
        <x:v>保持当前盟，减少迁移成本</x:v>
      </x:c>
    </x:row>
    <x:row r="16" ht="20" customHeight="1">
      <x:c r="A16" s="26" t="str">
        <x:f>IF('迁盟总表'!B113="","",'迁盟总表'!B113)</x:f>
        <x:v>陈先生</x:v>
      </x:c>
      <x:c r="B16" s="27" t="str">
        <x:f>IF('迁盟总表'!C113="","",'迁盟总表'!C113)</x:f>
        <x:v>花晨</x:v>
      </x:c>
      <x:c r="C16" s="61" t="str">
        <x:f>IF('迁盟总表'!D113="","",'迁盟总表'!D113)</x:f>
        <x:v>花晨</x:v>
      </x:c>
      <x:c r="D16" s="27" t="str">
        <x:f>IF('迁盟总表'!E113="","",'迁盟总表'!E113)</x:f>
        <x:v>留盟</x:v>
      </x:c>
      <x:c r="E16" s="40" t="n">
        <x:f>IF('迁盟总表'!Q113="","",'迁盟总表'!Q113)</x:f>
        <x:v>2014674126</x:v>
      </x:c>
      <x:c r="F16" s="40" t="n">
        <x:f>IF('迁盟总表'!R113="","",'迁盟总表'!R113)</x:f>
        <x:v>92541278</x:v>
      </x:c>
      <x:c r="G16" s="40" t="n">
        <x:f>IF('迁盟总表'!S113="","",'迁盟总表'!S113)</x:f>
        <x:v>331319956</x:v>
      </x:c>
      <x:c r="H16" s="37" t="n">
        <x:f>IF('迁盟总表'!H113="","",'迁盟总表'!H113)</x:f>
        <x:v>28.8</x:v>
      </x:c>
      <x:c r="I16" s="37" t="n">
        <x:f>IF('迁盟总表'!I113="","",'迁盟总表'!I113)</x:f>
        <x:v>28.6</x:v>
      </x:c>
      <x:c r="J16" s="40" t="n">
        <x:f>IF('迁盟总表'!J113="","",'迁盟总表'!J113)</x:f>
        <x:v>781</x:v>
      </x:c>
      <x:c r="K16" s="40" t="n">
        <x:f>IF('迁盟总表'!K113="","",'迁盟总表'!K113)</x:f>
        <x:v>821</x:v>
      </x:c>
      <x:c r="L16" s="40" t="n">
        <x:f>IF('迁盟总表'!L113="","",'迁盟总表'!L113)</x:f>
        <x:v>704</x:v>
      </x:c>
      <x:c r="M16" s="40" t="n">
        <x:f>IF('迁盟总表'!M113="","",'迁盟总表'!M113)</x:f>
        <x:v>588</x:v>
      </x:c>
      <x:c r="N16" s="40" t="n">
        <x:f>IF('迁盟总表'!N113="","",'迁盟总表'!N113)</x:f>
        <x:v>771</x:v>
      </x:c>
      <x:c r="O16" s="40" t="n">
        <x:f>IF('迁盟总表'!O113="","",'迁盟总表'!O113)</x:f>
        <x:v>923</x:v>
      </x:c>
      <x:c r="P16" s="40" t="n">
        <x:f>IF('迁盟总表'!P113="","",'迁盟总表'!P113)</x:f>
        <x:v>4588</x:v>
      </x:c>
      <x:c r="Q16" s="43" t="n">
        <x:f>IF('迁盟总表'!X113="","",'迁盟总表'!X113)</x:f>
        <x:v>77.4</x:v>
      </x:c>
      <x:c r="R16" s="27" t="n">
        <x:f>IF('迁盟总表'!Y113="","",'迁盟总表'!Y113)</x:f>
        <x:v>62</x:v>
      </x:c>
      <x:c r="S16" s="55" t="str">
        <x:f>IF('迁盟总表'!Z113="","",'迁盟总表'!Z113)</x:f>
        <x:v>保持当前盟，减少迁移成本</x:v>
      </x:c>
    </x:row>
    <x:row r="17" ht="20" customHeight="1">
      <x:c r="A17" s="26" t="str">
        <x:f>IF('迁盟总表'!B114="","",'迁盟总表'!B114)</x:f>
        <x:v>小曹贼</x:v>
      </x:c>
      <x:c r="B17" s="27" t="str">
        <x:f>IF('迁盟总表'!C114="","",'迁盟总表'!C114)</x:f>
        <x:v>花晨</x:v>
      </x:c>
      <x:c r="C17" s="61" t="str">
        <x:f>IF('迁盟总表'!D114="","",'迁盟总表'!D114)</x:f>
        <x:v>花晨</x:v>
      </x:c>
      <x:c r="D17" s="27" t="str">
        <x:f>IF('迁盟总表'!E114="","",'迁盟总表'!E114)</x:f>
        <x:v>留盟</x:v>
      </x:c>
      <x:c r="E17" s="40" t="n">
        <x:f>IF('迁盟总表'!Q114="","",'迁盟总表'!Q114)</x:f>
        <x:v>14133904556</x:v>
      </x:c>
      <x:c r="F17" s="40" t="n">
        <x:f>IF('迁盟总表'!R114="","",'迁盟总表'!R114)</x:f>
        <x:v>94134337</x:v>
      </x:c>
      <x:c r="G17" s="40" t="n">
        <x:f>IF('迁盟总表'!S114="","",'迁盟总表'!S114)</x:f>
        <x:v>193488950</x:v>
      </x:c>
      <x:c r="H17" s="37" t="n">
        <x:f>IF('迁盟总表'!H114="","",'迁盟总表'!H114)</x:f>
        <x:v>27.94</x:v>
      </x:c>
      <x:c r="I17" s="37" t="n">
        <x:f>IF('迁盟总表'!I114="","",'迁盟总表'!I114)</x:f>
        <x:v>22.5</x:v>
      </x:c>
      <x:c r="J17" s="40" t="n">
        <x:f>IF('迁盟总表'!J114="","",'迁盟总表'!J114)</x:f>
        <x:v>826</x:v>
      </x:c>
      <x:c r="K17" s="40" t="n">
        <x:f>IF('迁盟总表'!K114="","",'迁盟总表'!K114)</x:f>
        <x:v>982</x:v>
      </x:c>
      <x:c r="L17" s="40" t="n">
        <x:f>IF('迁盟总表'!L114="","",'迁盟总表'!L114)</x:f>
        <x:v>569</x:v>
      </x:c>
      <x:c r="M17" s="40" t="n">
        <x:f>IF('迁盟总表'!M114="","",'迁盟总表'!M114)</x:f>
        <x:v>671</x:v>
      </x:c>
      <x:c r="N17" s="40" t="n">
        <x:f>IF('迁盟总表'!N114="","",'迁盟总表'!N114)</x:f>
        <x:v>655</x:v>
      </x:c>
      <x:c r="O17" s="40" t="n">
        <x:f>IF('迁盟总表'!O114="","",'迁盟总表'!O114)</x:f>
        <x:v>833</x:v>
      </x:c>
      <x:c r="P17" s="40" t="n">
        <x:f>IF('迁盟总表'!P114="","",'迁盟总表'!P114)</x:f>
        <x:v>4536</x:v>
      </x:c>
      <x:c r="Q17" s="43" t="n">
        <x:f>IF('迁盟总表'!X114="","",'迁盟总表'!X114)</x:f>
        <x:v>77.1</x:v>
      </x:c>
      <x:c r="R17" s="27" t="n">
        <x:f>IF('迁盟总表'!Y114="","",'迁盟总表'!Y114)</x:f>
        <x:v>63</x:v>
      </x:c>
      <x:c r="S17" s="55" t="str">
        <x:f>IF('迁盟总表'!Z114="","",'迁盟总表'!Z114)</x:f>
        <x:v>保持当前盟，减少迁移成本</x:v>
      </x:c>
    </x:row>
    <x:row r="18" ht="20" customHeight="1">
      <x:c r="A18" s="26" t="str">
        <x:f>IF('迁盟总表'!B115="","",'迁盟总表'!B115)</x:f>
        <x:v>竹间客卿</x:v>
      </x:c>
      <x:c r="B18" s="27" t="str">
        <x:f>IF('迁盟总表'!C115="","",'迁盟总表'!C115)</x:f>
        <x:v>花晨</x:v>
      </x:c>
      <x:c r="C18" s="61" t="str">
        <x:f>IF('迁盟总表'!D115="","",'迁盟总表'!D115)</x:f>
        <x:v>花晨</x:v>
      </x:c>
      <x:c r="D18" s="27" t="str">
        <x:f>IF('迁盟总表'!E115="","",'迁盟总表'!E115)</x:f>
        <x:v>留盟</x:v>
      </x:c>
      <x:c r="E18" s="40" t="n">
        <x:f>IF('迁盟总表'!Q115="","",'迁盟总表'!Q115)</x:f>
        <x:v>8173246108</x:v>
      </x:c>
      <x:c r="F18" s="40" t="n">
        <x:f>IF('迁盟总表'!R115="","",'迁盟总表'!R115)</x:f>
        <x:v>85358056</x:v>
      </x:c>
      <x:c r="G18" s="40" t="n">
        <x:f>IF('迁盟总表'!S115="","",'迁盟总表'!S115)</x:f>
        <x:v>277490419</x:v>
      </x:c>
      <x:c r="H18" s="37" t="str">
        <x:f>IF('迁盟总表'!H115="","",'迁盟总表'!H115)</x:f>
      </x:c>
      <x:c r="I18" s="37" t="str">
        <x:f>IF('迁盟总表'!I115="","",'迁盟总表'!I115)</x:f>
      </x:c>
      <x:c r="J18" s="40" t="str">
        <x:f>IF('迁盟总表'!J115="","",'迁盟总表'!J115)</x:f>
      </x:c>
      <x:c r="K18" s="40" t="str">
        <x:f>IF('迁盟总表'!K115="","",'迁盟总表'!K115)</x:f>
      </x:c>
      <x:c r="L18" s="40" t="str">
        <x:f>IF('迁盟总表'!L115="","",'迁盟总表'!L115)</x:f>
      </x:c>
      <x:c r="M18" s="40" t="str">
        <x:f>IF('迁盟总表'!M115="","",'迁盟总表'!M115)</x:f>
      </x:c>
      <x:c r="N18" s="40" t="str">
        <x:f>IF('迁盟总表'!N115="","",'迁盟总表'!N115)</x:f>
      </x:c>
      <x:c r="O18" s="40" t="str">
        <x:f>IF('迁盟总表'!O115="","",'迁盟总表'!O115)</x:f>
      </x:c>
      <x:c r="P18" s="40" t="str">
        <x:f>IF('迁盟总表'!P115="","",'迁盟总表'!P115)</x:f>
      </x:c>
      <x:c r="Q18" s="43" t="n">
        <x:f>IF('迁盟总表'!X115="","",'迁盟总表'!X115)</x:f>
        <x:v>76.9</x:v>
      </x:c>
      <x:c r="R18" s="27" t="n">
        <x:f>IF('迁盟总表'!Y115="","",'迁盟总表'!Y115)</x:f>
        <x:v>66</x:v>
      </x:c>
      <x:c r="S18" s="55" t="str">
        <x:f>IF('迁盟总表'!Z115="","",'迁盟总表'!Z115)</x:f>
        <x:v>保持当前盟，减少迁移成本</x:v>
      </x:c>
    </x:row>
    <x:row r="19" ht="20" customHeight="1">
      <x:c r="A19" s="26" t="str">
        <x:f>IF('迁盟总表'!B116="","",'迁盟总表'!B116)</x:f>
        <x:v>桔梨椤柚</x:v>
      </x:c>
      <x:c r="B19" s="27" t="str">
        <x:f>IF('迁盟总表'!C116="","",'迁盟总表'!C116)</x:f>
        <x:v>花晨</x:v>
      </x:c>
      <x:c r="C19" s="61" t="str">
        <x:f>IF('迁盟总表'!D116="","",'迁盟总表'!D116)</x:f>
        <x:v>花晨</x:v>
      </x:c>
      <x:c r="D19" s="27" t="str">
        <x:f>IF('迁盟总表'!E116="","",'迁盟总表'!E116)</x:f>
        <x:v>留盟</x:v>
      </x:c>
      <x:c r="E19" s="40" t="n">
        <x:f>IF('迁盟总表'!Q116="","",'迁盟总表'!Q116)</x:f>
        <x:v>2026953730</x:v>
      </x:c>
      <x:c r="F19" s="40" t="n">
        <x:f>IF('迁盟总表'!R116="","",'迁盟总表'!R116)</x:f>
        <x:v>95699204</x:v>
      </x:c>
      <x:c r="G19" s="40" t="n">
        <x:f>IF('迁盟总表'!S116="","",'迁盟总表'!S116)</x:f>
        <x:v>286932522</x:v>
      </x:c>
      <x:c r="H19" s="37" t="n">
        <x:f>IF('迁盟总表'!H116="","",'迁盟总表'!H116)</x:f>
        <x:v>28.8</x:v>
      </x:c>
      <x:c r="I19" s="37" t="n">
        <x:f>IF('迁盟总表'!I116="","",'迁盟总表'!I116)</x:f>
        <x:v>22.5</x:v>
      </x:c>
      <x:c r="J19" s="40" t="n">
        <x:f>IF('迁盟总表'!J116="","",'迁盟总表'!J116)</x:f>
        <x:v>744</x:v>
      </x:c>
      <x:c r="K19" s="40" t="n">
        <x:f>IF('迁盟总表'!K116="","",'迁盟总表'!K116)</x:f>
        <x:v>890</x:v>
      </x:c>
      <x:c r="L19" s="40" t="n">
        <x:f>IF('迁盟总表'!L116="","",'迁盟总表'!L116)</x:f>
        <x:v>620</x:v>
      </x:c>
      <x:c r="M19" s="40" t="n">
        <x:f>IF('迁盟总表'!M116="","",'迁盟总表'!M116)</x:f>
        <x:v>714</x:v>
      </x:c>
      <x:c r="N19" s="40" t="n">
        <x:f>IF('迁盟总表'!N116="","",'迁盟总表'!N116)</x:f>
        <x:v>684</x:v>
      </x:c>
      <x:c r="O19" s="40" t="n">
        <x:f>IF('迁盟总表'!O116="","",'迁盟总表'!O116)</x:f>
        <x:v>823</x:v>
      </x:c>
      <x:c r="P19" s="40" t="n">
        <x:f>IF('迁盟总表'!P116="","",'迁盟总表'!P116)</x:f>
        <x:v>4475</x:v>
      </x:c>
      <x:c r="Q19" s="43" t="n">
        <x:f>IF('迁盟总表'!X116="","",'迁盟总表'!X116)</x:f>
        <x:v>76.8</x:v>
      </x:c>
      <x:c r="R19" s="27" t="n">
        <x:f>IF('迁盟总表'!Y116="","",'迁盟总表'!Y116)</x:f>
        <x:v>68</x:v>
      </x:c>
      <x:c r="S19" s="55" t="str">
        <x:f>IF('迁盟总表'!Z116="","",'迁盟总表'!Z116)</x:f>
        <x:v>保持当前盟，减少迁移成本</x:v>
      </x:c>
    </x:row>
    <x:row r="20" ht="20" customHeight="1">
      <x:c r="A20" s="26" t="str">
        <x:f>IF('迁盟总表'!B117="","",'迁盟总表'!B117)</x:f>
        <x:v>我来了</x:v>
      </x:c>
      <x:c r="B20" s="27" t="str">
        <x:f>IF('迁盟总表'!C117="","",'迁盟总表'!C117)</x:f>
        <x:v>花晨</x:v>
      </x:c>
      <x:c r="C20" s="61" t="str">
        <x:f>IF('迁盟总表'!D117="","",'迁盟总表'!D117)</x:f>
        <x:v>花晨</x:v>
      </x:c>
      <x:c r="D20" s="27" t="str">
        <x:f>IF('迁盟总表'!E117="","",'迁盟总表'!E117)</x:f>
        <x:v>留盟</x:v>
      </x:c>
      <x:c r="E20" s="40" t="n">
        <x:f>IF('迁盟总表'!Q117="","",'迁盟总表'!Q117)</x:f>
        <x:v>7859999650</x:v>
      </x:c>
      <x:c r="F20" s="40" t="n">
        <x:f>IF('迁盟总表'!R117="","",'迁盟总表'!R117)</x:f>
        <x:v>90603843</x:v>
      </x:c>
      <x:c r="G20" s="40" t="n">
        <x:f>IF('迁盟总表'!S117="","",'迁盟总表'!S117)</x:f>
        <x:v>227051949</x:v>
      </x:c>
      <x:c r="H20" s="37" t="n">
        <x:f>IF('迁盟总表'!H117="","",'迁盟总表'!H117)</x:f>
        <x:v>26.4</x:v>
      </x:c>
      <x:c r="I20" s="37" t="n">
        <x:f>IF('迁盟总表'!I117="","",'迁盟总表'!I117)</x:f>
        <x:v>25.8</x:v>
      </x:c>
      <x:c r="J20" s="40" t="str">
        <x:f>IF('迁盟总表'!J117="","",'迁盟总表'!J117)</x:f>
      </x:c>
      <x:c r="K20" s="40" t="str">
        <x:f>IF('迁盟总表'!K117="","",'迁盟总表'!K117)</x:f>
      </x:c>
      <x:c r="L20" s="40" t="str">
        <x:f>IF('迁盟总表'!L117="","",'迁盟总表'!L117)</x:f>
      </x:c>
      <x:c r="M20" s="40" t="str">
        <x:f>IF('迁盟总表'!M117="","",'迁盟总表'!M117)</x:f>
      </x:c>
      <x:c r="N20" s="40" t="str">
        <x:f>IF('迁盟总表'!N117="","",'迁盟总表'!N117)</x:f>
      </x:c>
      <x:c r="O20" s="40" t="str">
        <x:f>IF('迁盟总表'!O117="","",'迁盟总表'!O117)</x:f>
      </x:c>
      <x:c r="P20" s="40" t="str">
        <x:f>IF('迁盟总表'!P117="","",'迁盟总表'!P117)</x:f>
      </x:c>
      <x:c r="Q20" s="43" t="n">
        <x:f>IF('迁盟总表'!X117="","",'迁盟总表'!X117)</x:f>
        <x:v>76.7</x:v>
      </x:c>
      <x:c r="R20" s="27" t="n">
        <x:f>IF('迁盟总表'!Y117="","",'迁盟总表'!Y117)</x:f>
        <x:v>71</x:v>
      </x:c>
      <x:c r="S20" s="55" t="str">
        <x:f>IF('迁盟总表'!Z117="","",'迁盟总表'!Z117)</x:f>
        <x:v>保持当前盟，减少迁移成本</x:v>
      </x:c>
    </x:row>
    <x:row r="21" ht="20" customHeight="1">
      <x:c r="A21" s="26" t="str">
        <x:f>IF('迁盟总表'!B118="","",'迁盟总表'!B118)</x:f>
        <x:v>灵官星</x:v>
      </x:c>
      <x:c r="B21" s="27" t="str">
        <x:f>IF('迁盟总表'!C118="","",'迁盟总表'!C118)</x:f>
        <x:v>花晨</x:v>
      </x:c>
      <x:c r="C21" s="61" t="str">
        <x:f>IF('迁盟总表'!D118="","",'迁盟总表'!D118)</x:f>
        <x:v>花晨</x:v>
      </x:c>
      <x:c r="D21" s="27" t="str">
        <x:f>IF('迁盟总表'!E118="","",'迁盟总表'!E118)</x:f>
        <x:v>留盟</x:v>
      </x:c>
      <x:c r="E21" s="40" t="n">
        <x:f>IF('迁盟总表'!Q118="","",'迁盟总表'!Q118)</x:f>
        <x:v>3165519860</x:v>
      </x:c>
      <x:c r="F21" s="40" t="n">
        <x:f>IF('迁盟总表'!R118="","",'迁盟总表'!R118)</x:f>
        <x:v>88253018</x:v>
      </x:c>
      <x:c r="G21" s="40" t="n">
        <x:f>IF('迁盟总表'!S118="","",'迁盟总表'!S118)</x:f>
        <x:v>349190774</x:v>
      </x:c>
      <x:c r="H21" s="37" t="n">
        <x:f>IF('迁盟总表'!H118="","",'迁盟总表'!H118)</x:f>
        <x:v>25.2</x:v>
      </x:c>
      <x:c r="I21" s="37" t="n">
        <x:f>IF('迁盟总表'!I118="","",'迁盟总表'!I118)</x:f>
        <x:v>23.7</x:v>
      </x:c>
      <x:c r="J21" s="40" t="n">
        <x:f>IF('迁盟总表'!J118="","",'迁盟总表'!J118)</x:f>
        <x:v>614</x:v>
      </x:c>
      <x:c r="K21" s="40" t="n">
        <x:f>IF('迁盟总表'!K118="","",'迁盟总表'!K118)</x:f>
        <x:v>681</x:v>
      </x:c>
      <x:c r="L21" s="40" t="n">
        <x:f>IF('迁盟总表'!L118="","",'迁盟总表'!L118)</x:f>
        <x:v>670</x:v>
      </x:c>
      <x:c r="M21" s="40" t="n">
        <x:f>IF('迁盟总表'!M118="","",'迁盟总表'!M118)</x:f>
        <x:v>600</x:v>
      </x:c>
      <x:c r="N21" s="40" t="n">
        <x:f>IF('迁盟总表'!N118="","",'迁盟总表'!N118)</x:f>
        <x:v>724</x:v>
      </x:c>
      <x:c r="O21" s="40" t="n">
        <x:f>IF('迁盟总表'!O118="","",'迁盟总表'!O118)</x:f>
        <x:v>697</x:v>
      </x:c>
      <x:c r="P21" s="40" t="n">
        <x:f>IF('迁盟总表'!P118="","",'迁盟总表'!P118)</x:f>
        <x:v>3986</x:v>
      </x:c>
      <x:c r="Q21" s="43" t="n">
        <x:f>IF('迁盟总表'!X118="","",'迁盟总表'!X118)</x:f>
        <x:v>76.7</x:v>
      </x:c>
      <x:c r="R21" s="27" t="n">
        <x:f>IF('迁盟总表'!Y118="","",'迁盟总表'!Y118)</x:f>
        <x:v>71</x:v>
      </x:c>
      <x:c r="S21" s="55" t="str">
        <x:f>IF('迁盟总表'!Z118="","",'迁盟总表'!Z118)</x:f>
        <x:v>保持当前盟，减少迁移成本</x:v>
      </x:c>
    </x:row>
    <x:row r="22" ht="20" customHeight="1">
      <x:c r="A22" s="26" t="str">
        <x:f>IF('迁盟总表'!B119="","",'迁盟总表'!B119)</x:f>
        <x:v>海盐芝士</x:v>
      </x:c>
      <x:c r="B22" s="27" t="str">
        <x:f>IF('迁盟总表'!C119="","",'迁盟总表'!C119)</x:f>
        <x:v>花晨</x:v>
      </x:c>
      <x:c r="C22" s="61" t="str">
        <x:f>IF('迁盟总表'!D119="","",'迁盟总表'!D119)</x:f>
        <x:v>花晨</x:v>
      </x:c>
      <x:c r="D22" s="27" t="str">
        <x:f>IF('迁盟总表'!E119="","",'迁盟总表'!E119)</x:f>
        <x:v>留盟</x:v>
      </x:c>
      <x:c r="E22" s="40" t="n">
        <x:f>IF('迁盟总表'!Q119="","",'迁盟总表'!Q119)</x:f>
        <x:v>4802859938</x:v>
      </x:c>
      <x:c r="F22" s="40" t="n">
        <x:f>IF('迁盟总表'!R119="","",'迁盟总表'!R119)</x:f>
        <x:v>92416064</x:v>
      </x:c>
      <x:c r="G22" s="40" t="n">
        <x:f>IF('迁盟总表'!S119="","",'迁盟总表'!S119)</x:f>
        <x:v>291931339</x:v>
      </x:c>
      <x:c r="H22" s="37" t="n">
        <x:f>IF('迁盟总表'!H119="","",'迁盟总表'!H119)</x:f>
        <x:v>25.3</x:v>
      </x:c>
      <x:c r="I22" s="37" t="n">
        <x:f>IF('迁盟总表'!I119="","",'迁盟总表'!I119)</x:f>
        <x:v>23.7</x:v>
      </x:c>
      <x:c r="J22" s="40" t="n">
        <x:f>IF('迁盟总表'!J119="","",'迁盟总表'!J119)</x:f>
        <x:v>610</x:v>
      </x:c>
      <x:c r="K22" s="40" t="n">
        <x:f>IF('迁盟总表'!K119="","",'迁盟总表'!K119)</x:f>
        <x:v>645</x:v>
      </x:c>
      <x:c r="L22" s="40" t="n">
        <x:f>IF('迁盟总表'!L119="","",'迁盟总表'!L119)</x:f>
        <x:v>658</x:v>
      </x:c>
      <x:c r="M22" s="40" t="n">
        <x:f>IF('迁盟总表'!M119="","",'迁盟总表'!M119)</x:f>
        <x:v>617</x:v>
      </x:c>
      <x:c r="N22" s="40" t="n">
        <x:f>IF('迁盟总表'!N119="","",'迁盟总表'!N119)</x:f>
        <x:v>668</x:v>
      </x:c>
      <x:c r="O22" s="40" t="n">
        <x:f>IF('迁盟总表'!O119="","",'迁盟总表'!O119)</x:f>
        <x:v>606</x:v>
      </x:c>
      <x:c r="P22" s="40" t="n">
        <x:f>IF('迁盟总表'!P119="","",'迁盟总表'!P119)</x:f>
        <x:v>3804</x:v>
      </x:c>
      <x:c r="Q22" s="43" t="n">
        <x:f>IF('迁盟总表'!X119="","",'迁盟总表'!X119)</x:f>
        <x:v>76.5</x:v>
      </x:c>
      <x:c r="R22" s="27" t="n">
        <x:f>IF('迁盟总表'!Y119="","",'迁盟总表'!Y119)</x:f>
        <x:v>75</x:v>
      </x:c>
      <x:c r="S22" s="55" t="str">
        <x:f>IF('迁盟总表'!Z119="","",'迁盟总表'!Z119)</x:f>
        <x:v>保持当前盟，减少迁移成本</x:v>
      </x:c>
    </x:row>
    <x:row r="23" ht="20" customHeight="1">
      <x:c r="A23" s="26" t="str">
        <x:f>IF('迁盟总表'!B120="","",'迁盟总表'!B120)</x:f>
        <x:v>东山入眠际</x:v>
      </x:c>
      <x:c r="B23" s="27" t="str">
        <x:f>IF('迁盟总表'!C120="","",'迁盟总表'!C120)</x:f>
        <x:v>花晨</x:v>
      </x:c>
      <x:c r="C23" s="61" t="str">
        <x:f>IF('迁盟总表'!D120="","",'迁盟总表'!D120)</x:f>
        <x:v>花晨</x:v>
      </x:c>
      <x:c r="D23" s="27" t="str">
        <x:f>IF('迁盟总表'!E120="","",'迁盟总表'!E120)</x:f>
        <x:v>留盟</x:v>
      </x:c>
      <x:c r="E23" s="40" t="n">
        <x:f>IF('迁盟总表'!Q120="","",'迁盟总表'!Q120)</x:f>
        <x:v>9945496040</x:v>
      </x:c>
      <x:c r="F23" s="40" t="n">
        <x:f>IF('迁盟总表'!R120="","",'迁盟总表'!R120)</x:f>
        <x:v>93020290</x:v>
      </x:c>
      <x:c r="G23" s="40" t="n">
        <x:f>IF('迁盟总表'!S120="","",'迁盟总表'!S120)</x:f>
        <x:v>212618033</x:v>
      </x:c>
      <x:c r="H23" s="37" t="n">
        <x:f>IF('迁盟总表'!H120="","",'迁盟总表'!H120)</x:f>
        <x:v>26.4</x:v>
      </x:c>
      <x:c r="I23" s="37" t="n">
        <x:f>IF('迁盟总表'!I120="","",'迁盟总表'!I120)</x:f>
        <x:v>26.4</x:v>
      </x:c>
      <x:c r="J23" s="40" t="n">
        <x:f>IF('迁盟总表'!J120="","",'迁盟总表'!J120)</x:f>
        <x:v>752</x:v>
      </x:c>
      <x:c r="K23" s="40" t="n">
        <x:f>IF('迁盟总表'!K120="","",'迁盟总表'!K120)</x:f>
        <x:v>882</x:v>
      </x:c>
      <x:c r="L23" s="40" t="n">
        <x:f>IF('迁盟总表'!L120="","",'迁盟总表'!L120)</x:f>
        <x:v>671</x:v>
      </x:c>
      <x:c r="M23" s="40" t="n">
        <x:f>IF('迁盟总表'!M120="","",'迁盟总表'!M120)</x:f>
        <x:v>553</x:v>
      </x:c>
      <x:c r="N23" s="40" t="n">
        <x:f>IF('迁盟总表'!N120="","",'迁盟总表'!N120)</x:f>
        <x:v>697</x:v>
      </x:c>
      <x:c r="O23" s="40" t="n">
        <x:f>IF('迁盟总表'!O120="","",'迁盟总表'!O120)</x:f>
        <x:v>746</x:v>
      </x:c>
      <x:c r="P23" s="40" t="n">
        <x:f>IF('迁盟总表'!P120="","",'迁盟总表'!P120)</x:f>
        <x:v>4301</x:v>
      </x:c>
      <x:c r="Q23" s="43" t="n">
        <x:f>IF('迁盟总表'!X120="","",'迁盟总表'!X120)</x:f>
        <x:v>76.4</x:v>
      </x:c>
      <x:c r="R23" s="27" t="n">
        <x:f>IF('迁盟总表'!Y120="","",'迁盟总表'!Y120)</x:f>
        <x:v>77</x:v>
      </x:c>
      <x:c r="S23" s="55" t="str">
        <x:f>IF('迁盟总表'!Z120="","",'迁盟总表'!Z120)</x:f>
        <x:v>保持当前盟，减少迁移成本</x:v>
      </x:c>
    </x:row>
    <x:row r="24" ht="20" customHeight="1">
      <x:c r="A24" s="26" t="str">
        <x:f>IF('迁盟总表'!B121="","",'迁盟总表'!B121)</x:f>
        <x:v>盖世嘤熊</x:v>
      </x:c>
      <x:c r="B24" s="27" t="str">
        <x:f>IF('迁盟总表'!C121="","",'迁盟总表'!C121)</x:f>
        <x:v>花晨</x:v>
      </x:c>
      <x:c r="C24" s="61" t="str">
        <x:f>IF('迁盟总表'!D121="","",'迁盟总表'!D121)</x:f>
        <x:v>花晨</x:v>
      </x:c>
      <x:c r="D24" s="27" t="str">
        <x:f>IF('迁盟总表'!E121="","",'迁盟总表'!E121)</x:f>
        <x:v>留盟</x:v>
      </x:c>
      <x:c r="E24" s="40" t="n">
        <x:f>IF('迁盟总表'!Q121="","",'迁盟总表'!Q121)</x:f>
        <x:v>7739170280</x:v>
      </x:c>
      <x:c r="F24" s="40" t="n">
        <x:f>IF('迁盟总表'!R121="","",'迁盟总表'!R121)</x:f>
        <x:v>84208842</x:v>
      </x:c>
      <x:c r="G24" s="40" t="n">
        <x:f>IF('迁盟总表'!S121="","",'迁盟总表'!S121)</x:f>
        <x:v>273963761</x:v>
      </x:c>
      <x:c r="H24" s="37" t="n">
        <x:f>IF('迁盟总表'!H121="","",'迁盟总表'!H121)</x:f>
        <x:v>28.8</x:v>
      </x:c>
      <x:c r="I24" s="37" t="n">
        <x:f>IF('迁盟总表'!I121="","",'迁盟总表'!I121)</x:f>
        <x:v>28.8</x:v>
      </x:c>
      <x:c r="J24" s="40" t="n">
        <x:f>IF('迁盟总表'!J121="","",'迁盟总表'!J121)</x:f>
        <x:v>808</x:v>
      </x:c>
      <x:c r="K24" s="40" t="n">
        <x:f>IF('迁盟总表'!K121="","",'迁盟总表'!K121)</x:f>
        <x:v>948</x:v>
      </x:c>
      <x:c r="L24" s="40" t="n">
        <x:f>IF('迁盟总表'!L121="","",'迁盟总表'!L121)</x:f>
        <x:v>718</x:v>
      </x:c>
      <x:c r="M24" s="40" t="n">
        <x:f>IF('迁盟总表'!M121="","",'迁盟总表'!M121)</x:f>
        <x:v>594</x:v>
      </x:c>
      <x:c r="N24" s="40" t="n">
        <x:f>IF('迁盟总表'!N121="","",'迁盟总表'!N121)</x:f>
        <x:v>750</x:v>
      </x:c>
      <x:c r="O24" s="40" t="n">
        <x:f>IF('迁盟总表'!O121="","",'迁盟总表'!O121)</x:f>
        <x:v>942</x:v>
      </x:c>
      <x:c r="P24" s="40" t="n">
        <x:f>IF('迁盟总表'!P121="","",'迁盟总表'!P121)</x:f>
        <x:v>4760</x:v>
      </x:c>
      <x:c r="Q24" s="43" t="n">
        <x:f>IF('迁盟总表'!X121="","",'迁盟总表'!X121)</x:f>
        <x:v>76.2</x:v>
      </x:c>
      <x:c r="R24" s="27" t="n">
        <x:f>IF('迁盟总表'!Y121="","",'迁盟总表'!Y121)</x:f>
        <x:v>81</x:v>
      </x:c>
      <x:c r="S24" s="55" t="str">
        <x:f>IF('迁盟总表'!Z121="","",'迁盟总表'!Z121)</x:f>
        <x:v>保持当前盟，减少迁移成本</x:v>
      </x:c>
    </x:row>
    <x:row r="25" ht="20" customHeight="1">
      <x:c r="A25" s="26" t="str">
        <x:f>IF('迁盟总表'!B122="","",'迁盟总表'!B122)</x:f>
        <x:v>逍遥子</x:v>
      </x:c>
      <x:c r="B25" s="27" t="str">
        <x:f>IF('迁盟总表'!C122="","",'迁盟总表'!C122)</x:f>
        <x:v>花晨</x:v>
      </x:c>
      <x:c r="C25" s="61" t="str">
        <x:f>IF('迁盟总表'!D122="","",'迁盟总表'!D122)</x:f>
        <x:v>花晨</x:v>
      </x:c>
      <x:c r="D25" s="27" t="str">
        <x:f>IF('迁盟总表'!E122="","",'迁盟总表'!E122)</x:f>
        <x:v>留盟</x:v>
      </x:c>
      <x:c r="E25" s="40" t="n">
        <x:f>IF('迁盟总表'!Q122="","",'迁盟总表'!Q122)</x:f>
        <x:v>3793281232</x:v>
      </x:c>
      <x:c r="F25" s="40" t="n">
        <x:f>IF('迁盟总表'!R122="","",'迁盟总表'!R122)</x:f>
        <x:v>88192147</x:v>
      </x:c>
      <x:c r="G25" s="40" t="n">
        <x:f>IF('迁盟总表'!S122="","",'迁盟总表'!S122)</x:f>
        <x:v>300841456</x:v>
      </x:c>
      <x:c r="H25" s="37" t="n">
        <x:f>IF('迁盟总表'!H122="","",'迁盟总表'!H122)</x:f>
        <x:v>25.3</x:v>
      </x:c>
      <x:c r="I25" s="37" t="n">
        <x:f>IF('迁盟总表'!I122="","",'迁盟总表'!I122)</x:f>
        <x:v>25.3</x:v>
      </x:c>
      <x:c r="J25" s="40" t="n">
        <x:f>IF('迁盟总表'!J122="","",'迁盟总表'!J122)</x:f>
        <x:v>679</x:v>
      </x:c>
      <x:c r="K25" s="40" t="n">
        <x:f>IF('迁盟总表'!K122="","",'迁盟总表'!K122)</x:f>
        <x:v>878</x:v>
      </x:c>
      <x:c r="L25" s="40" t="n">
        <x:f>IF('迁盟总表'!L122="","",'迁盟总表'!L122)</x:f>
        <x:v>596</x:v>
      </x:c>
      <x:c r="M25" s="40" t="n">
        <x:f>IF('迁盟总表'!M122="","",'迁盟总表'!M122)</x:f>
        <x:v>583</x:v>
      </x:c>
      <x:c r="N25" s="40" t="n">
        <x:f>IF('迁盟总表'!N122="","",'迁盟总表'!N122)</x:f>
        <x:v>637</x:v>
      </x:c>
      <x:c r="O25" s="40" t="n">
        <x:f>IF('迁盟总表'!O122="","",'迁盟总表'!O122)</x:f>
        <x:v>824</x:v>
      </x:c>
      <x:c r="P25" s="40" t="n">
        <x:f>IF('迁盟总表'!P122="","",'迁盟总表'!P122)</x:f>
        <x:v>4197</x:v>
      </x:c>
      <x:c r="Q25" s="43" t="n">
        <x:f>IF('迁盟总表'!X122="","",'迁盟总表'!X122)</x:f>
        <x:v>75.9</x:v>
      </x:c>
      <x:c r="R25" s="27" t="n">
        <x:f>IF('迁盟总表'!Y122="","",'迁盟总表'!Y122)</x:f>
        <x:v>86</x:v>
      </x:c>
      <x:c r="S25" s="55" t="str">
        <x:f>IF('迁盟总表'!Z122="","",'迁盟总表'!Z122)</x:f>
        <x:v>保持当前盟，减少迁移成本</x:v>
      </x:c>
    </x:row>
    <x:row r="26" ht="20" customHeight="1">
      <x:c r="A26" s="26" t="str">
        <x:f>IF('迁盟总表'!B123="","",'迁盟总表'!B123)</x:f>
        <x:v>檀呵呵</x:v>
      </x:c>
      <x:c r="B26" s="27" t="str">
        <x:f>IF('迁盟总表'!C123="","",'迁盟总表'!C123)</x:f>
        <x:v>花晨</x:v>
      </x:c>
      <x:c r="C26" s="61" t="str">
        <x:f>IF('迁盟总表'!D123="","",'迁盟总表'!D123)</x:f>
        <x:v>花晨</x:v>
      </x:c>
      <x:c r="D26" s="27" t="str">
        <x:f>IF('迁盟总表'!E123="","",'迁盟总表'!E123)</x:f>
        <x:v>留盟</x:v>
      </x:c>
      <x:c r="E26" s="40" t="n">
        <x:f>IF('迁盟总表'!Q123="","",'迁盟总表'!Q123)</x:f>
        <x:v>2591764934</x:v>
      </x:c>
      <x:c r="F26" s="40" t="n">
        <x:f>IF('迁盟总表'!R123="","",'迁盟总表'!R123)</x:f>
        <x:v>91884564</x:v>
      </x:c>
      <x:c r="G26" s="40" t="n">
        <x:f>IF('迁盟总表'!S123="","",'迁盟总表'!S123)</x:f>
        <x:v>280135983</x:v>
      </x:c>
      <x:c r="H26" s="37" t="n">
        <x:f>IF('迁盟总表'!H123="","",'迁盟总表'!H123)</x:f>
        <x:v>27.8</x:v>
      </x:c>
      <x:c r="I26" s="37" t="n">
        <x:f>IF('迁盟总表'!I123="","",'迁盟总表'!I123)</x:f>
        <x:v>22.5</x:v>
      </x:c>
      <x:c r="J26" s="40" t="n">
        <x:f>IF('迁盟总表'!J123="","",'迁盟总表'!J123)</x:f>
        <x:v>732</x:v>
      </x:c>
      <x:c r="K26" s="40" t="n">
        <x:f>IF('迁盟总表'!K123="","",'迁盟总表'!K123)</x:f>
        <x:v>858</x:v>
      </x:c>
      <x:c r="L26" s="40" t="n">
        <x:f>IF('迁盟总表'!L123="","",'迁盟总表'!L123)</x:f>
        <x:v>643</x:v>
      </x:c>
      <x:c r="M26" s="40" t="n">
        <x:f>IF('迁盟总表'!M123="","",'迁盟总表'!M123)</x:f>
        <x:v>607</x:v>
      </x:c>
      <x:c r="N26" s="40" t="n">
        <x:f>IF('迁盟总表'!N123="","",'迁盟总表'!N123)</x:f>
        <x:v>706</x:v>
      </x:c>
      <x:c r="O26" s="40" t="n">
        <x:f>IF('迁盟总表'!O123="","",'迁盟总表'!O123)</x:f>
        <x:v>780</x:v>
      </x:c>
      <x:c r="P26" s="40" t="n">
        <x:f>IF('迁盟总表'!P123="","",'迁盟总表'!P123)</x:f>
        <x:v>4326</x:v>
      </x:c>
      <x:c r="Q26" s="43" t="n">
        <x:f>IF('迁盟总表'!X123="","",'迁盟总表'!X123)</x:f>
        <x:v>75.8</x:v>
      </x:c>
      <x:c r="R26" s="27" t="n">
        <x:f>IF('迁盟总表'!Y123="","",'迁盟总表'!Y123)</x:f>
        <x:v>89</x:v>
      </x:c>
      <x:c r="S26" s="55" t="str">
        <x:f>IF('迁盟总表'!Z123="","",'迁盟总表'!Z123)</x:f>
        <x:v>保持当前盟，减少迁移成本</x:v>
      </x:c>
    </x:row>
    <x:row r="27" ht="20" customHeight="1">
      <x:c r="A27" s="26" t="str">
        <x:f>IF('迁盟总表'!B124="","",'迁盟总表'!B124)</x:f>
        <x:v>倚楼听夜雨</x:v>
      </x:c>
      <x:c r="B27" s="27" t="str">
        <x:f>IF('迁盟总表'!C124="","",'迁盟总表'!C124)</x:f>
        <x:v>花晨</x:v>
      </x:c>
      <x:c r="C27" s="61" t="str">
        <x:f>IF('迁盟总表'!D124="","",'迁盟总表'!D124)</x:f>
        <x:v>花晨</x:v>
      </x:c>
      <x:c r="D27" s="27" t="str">
        <x:f>IF('迁盟总表'!E124="","",'迁盟总表'!E124)</x:f>
        <x:v>留盟</x:v>
      </x:c>
      <x:c r="E27" s="40" t="n">
        <x:f>IF('迁盟总表'!Q124="","",'迁盟总表'!Q124)</x:f>
        <x:v>2309131456</x:v>
      </x:c>
      <x:c r="F27" s="40" t="n">
        <x:f>IF('迁盟总表'!R124="","",'迁盟总表'!R124)</x:f>
        <x:v>89894249</x:v>
      </x:c>
      <x:c r="G27" s="40" t="n">
        <x:f>IF('迁盟总表'!S124="","",'迁盟总表'!S124)</x:f>
        <x:v>310543109</x:v>
      </x:c>
      <x:c r="H27" s="37" t="n">
        <x:f>IF('迁盟总表'!H124="","",'迁盟总表'!H124)</x:f>
        <x:v>27.7</x:v>
      </x:c>
      <x:c r="I27" s="37" t="n">
        <x:f>IF('迁盟总表'!I124="","",'迁盟总表'!I124)</x:f>
        <x:v>22.5</x:v>
      </x:c>
      <x:c r="J27" s="40" t="n">
        <x:f>IF('迁盟总表'!J124="","",'迁盟总表'!J124)</x:f>
        <x:v>761</x:v>
      </x:c>
      <x:c r="K27" s="40" t="n">
        <x:f>IF('迁盟总表'!K124="","",'迁盟总表'!K124)</x:f>
        <x:v>812</x:v>
      </x:c>
      <x:c r="L27" s="40" t="n">
        <x:f>IF('迁盟总表'!L124="","",'迁盟总表'!L124)</x:f>
        <x:v>662</x:v>
      </x:c>
      <x:c r="M27" s="40" t="n">
        <x:f>IF('迁盟总表'!M124="","",'迁盟总表'!M124)</x:f>
        <x:v>549</x:v>
      </x:c>
      <x:c r="N27" s="40" t="n">
        <x:f>IF('迁盟总表'!N124="","",'迁盟总表'!N124)</x:f>
        <x:v>727</x:v>
      </x:c>
      <x:c r="O27" s="40" t="n">
        <x:f>IF('迁盟总表'!O124="","",'迁盟总表'!O124)</x:f>
        <x:v>666</x:v>
      </x:c>
      <x:c r="P27" s="40" t="n">
        <x:f>IF('迁盟总表'!P124="","",'迁盟总表'!P124)</x:f>
        <x:v>4177</x:v>
      </x:c>
      <x:c r="Q27" s="43" t="n">
        <x:f>IF('迁盟总表'!X124="","",'迁盟总表'!X124)</x:f>
        <x:v>75.7</x:v>
      </x:c>
      <x:c r="R27" s="27" t="n">
        <x:f>IF('迁盟总表'!Y124="","",'迁盟总表'!Y124)</x:f>
        <x:v>92</x:v>
      </x:c>
      <x:c r="S27" s="55" t="str">
        <x:f>IF('迁盟总表'!Z124="","",'迁盟总表'!Z124)</x:f>
        <x:v>保持当前盟，减少迁移成本</x:v>
      </x:c>
    </x:row>
    <x:row r="28" ht="20" customHeight="1">
      <x:c r="A28" s="26" t="str">
        <x:f>IF('迁盟总表'!B125="","",'迁盟总表'!B125)</x:f>
        <x:v>听风言酒</x:v>
      </x:c>
      <x:c r="B28" s="27" t="str">
        <x:f>IF('迁盟总表'!C125="","",'迁盟总表'!C125)</x:f>
        <x:v>花晨</x:v>
      </x:c>
      <x:c r="C28" s="61" t="str">
        <x:f>IF('迁盟总表'!D125="","",'迁盟总表'!D125)</x:f>
        <x:v>花晨</x:v>
      </x:c>
      <x:c r="D28" s="27" t="str">
        <x:f>IF('迁盟总表'!E125="","",'迁盟总表'!E125)</x:f>
        <x:v>留盟</x:v>
      </x:c>
      <x:c r="E28" s="40" t="n">
        <x:f>IF('迁盟总表'!Q125="","",'迁盟总表'!Q125)</x:f>
        <x:v>1156003388</x:v>
      </x:c>
      <x:c r="F28" s="40" t="n">
        <x:f>IF('迁盟总表'!R125="","",'迁盟总表'!R125)</x:f>
        <x:v>92667425</x:v>
      </x:c>
      <x:c r="G28" s="40" t="n">
        <x:f>IF('迁盟总表'!S125="","",'迁盟总表'!S125)</x:f>
        <x:v>305633326</x:v>
      </x:c>
      <x:c r="H28" s="37" t="n">
        <x:f>IF('迁盟总表'!H125="","",'迁盟总表'!H125)</x:f>
        <x:v>28.8</x:v>
      </x:c>
      <x:c r="I28" s="37" t="n">
        <x:f>IF('迁盟总表'!I125="","",'迁盟总表'!I125)</x:f>
        <x:v>28.8</x:v>
      </x:c>
      <x:c r="J28" s="40" t="n">
        <x:f>IF('迁盟总表'!J125="","",'迁盟总表'!J125)</x:f>
        <x:v>857</x:v>
      </x:c>
      <x:c r="K28" s="40" t="n">
        <x:f>IF('迁盟总表'!K125="","",'迁盟总表'!K125)</x:f>
        <x:v>907</x:v>
      </x:c>
      <x:c r="L28" s="40" t="n">
        <x:f>IF('迁盟总表'!L125="","",'迁盟总表'!L125)</x:f>
        <x:v>610</x:v>
      </x:c>
      <x:c r="M28" s="40" t="n">
        <x:f>IF('迁盟总表'!M125="","",'迁盟总表'!M125)</x:f>
        <x:v>653</x:v>
      </x:c>
      <x:c r="N28" s="40" t="n">
        <x:f>IF('迁盟总表'!N125="","",'迁盟总表'!N125)</x:f>
        <x:v>737</x:v>
      </x:c>
      <x:c r="O28" s="40" t="n">
        <x:f>IF('迁盟总表'!O125="","",'迁盟总表'!O125)</x:f>
        <x:v>772</x:v>
      </x:c>
      <x:c r="P28" s="40" t="n">
        <x:f>IF('迁盟总表'!P125="","",'迁盟总表'!P125)</x:f>
        <x:v>4536</x:v>
      </x:c>
      <x:c r="Q28" s="43" t="n">
        <x:f>IF('迁盟总表'!X125="","",'迁盟总表'!X125)</x:f>
        <x:v>75.7</x:v>
      </x:c>
      <x:c r="R28" s="27" t="n">
        <x:f>IF('迁盟总表'!Y125="","",'迁盟总表'!Y125)</x:f>
        <x:v>92</x:v>
      </x:c>
      <x:c r="S28" s="55" t="str">
        <x:f>IF('迁盟总表'!Z125="","",'迁盟总表'!Z125)</x:f>
        <x:v>保持当前盟，减少迁移成本</x:v>
      </x:c>
    </x:row>
    <x:row r="29" ht="20" customHeight="1">
      <x:c r="A29" s="26" t="str">
        <x:f>IF('迁盟总表'!B126="","",'迁盟总表'!B126)</x:f>
        <x:v>星辰伤</x:v>
      </x:c>
      <x:c r="B29" s="27" t="str">
        <x:f>IF('迁盟总表'!C126="","",'迁盟总表'!C126)</x:f>
        <x:v>花晨</x:v>
      </x:c>
      <x:c r="C29" s="61" t="str">
        <x:f>IF('迁盟总表'!D126="","",'迁盟总表'!D126)</x:f>
        <x:v>花晨</x:v>
      </x:c>
      <x:c r="D29" s="27" t="str">
        <x:f>IF('迁盟总表'!E126="","",'迁盟总表'!E126)</x:f>
        <x:v>留盟</x:v>
      </x:c>
      <x:c r="E29" s="40" t="n">
        <x:f>IF('迁盟总表'!Q126="","",'迁盟总表'!Q126)</x:f>
        <x:v>3043749620</x:v>
      </x:c>
      <x:c r="F29" s="40" t="n">
        <x:f>IF('迁盟总表'!R126="","",'迁盟总表'!R126)</x:f>
        <x:v>88002623</x:v>
      </x:c>
      <x:c r="G29" s="40" t="n">
        <x:f>IF('迁盟总表'!S126="","",'迁盟总表'!S126)</x:f>
        <x:v>293595427</x:v>
      </x:c>
      <x:c r="H29" s="37" t="n">
        <x:f>IF('迁盟总表'!H126="","",'迁盟总表'!H126)</x:f>
        <x:v>28.8</x:v>
      </x:c>
      <x:c r="I29" s="37" t="n">
        <x:f>IF('迁盟总表'!I126="","",'迁盟总表'!I126)</x:f>
        <x:v>22.5</x:v>
      </x:c>
      <x:c r="J29" s="40" t="n">
        <x:f>IF('迁盟总表'!J126="","",'迁盟总表'!J126)</x:f>
        <x:v>792</x:v>
      </x:c>
      <x:c r="K29" s="40" t="n">
        <x:f>IF('迁盟总表'!K126="","",'迁盟总表'!K126)</x:f>
        <x:v>785</x:v>
      </x:c>
      <x:c r="L29" s="40" t="n">
        <x:f>IF('迁盟总表'!L126="","",'迁盟总表'!L126)</x:f>
        <x:v>694</x:v>
      </x:c>
      <x:c r="M29" s="40" t="n">
        <x:f>IF('迁盟总表'!M126="","",'迁盟总表'!M126)</x:f>
        <x:v>765</x:v>
      </x:c>
      <x:c r="N29" s="40" t="n">
        <x:f>IF('迁盟总表'!N126="","",'迁盟总表'!N126)</x:f>
        <x:v>672</x:v>
      </x:c>
      <x:c r="O29" s="40" t="n">
        <x:f>IF('迁盟总表'!O126="","",'迁盟总表'!O126)</x:f>
        <x:v>759</x:v>
      </x:c>
      <x:c r="P29" s="40" t="n">
        <x:f>IF('迁盟总表'!P126="","",'迁盟总表'!P126)</x:f>
        <x:v>4467</x:v>
      </x:c>
      <x:c r="Q29" s="43" t="n">
        <x:f>IF('迁盟总表'!X126="","",'迁盟总表'!X126)</x:f>
        <x:v>75.7</x:v>
      </x:c>
      <x:c r="R29" s="27" t="n">
        <x:f>IF('迁盟总表'!Y126="","",'迁盟总表'!Y126)</x:f>
        <x:v>92</x:v>
      </x:c>
      <x:c r="S29" s="55" t="str">
        <x:f>IF('迁盟总表'!Z126="","",'迁盟总表'!Z126)</x:f>
        <x:v>保持当前盟，减少迁移成本</x:v>
      </x:c>
    </x:row>
    <x:row r="30" ht="20" customHeight="1">
      <x:c r="A30" s="26" t="str">
        <x:f>IF('迁盟总表'!B127="","",'迁盟总表'!B127)</x:f>
        <x:v>大裤衩子</x:v>
      </x:c>
      <x:c r="B30" s="27" t="str">
        <x:f>IF('迁盟总表'!C127="","",'迁盟总表'!C127)</x:f>
        <x:v>花晨</x:v>
      </x:c>
      <x:c r="C30" s="61" t="str">
        <x:f>IF('迁盟总表'!D127="","",'迁盟总表'!D127)</x:f>
        <x:v>花晨</x:v>
      </x:c>
      <x:c r="D30" s="27" t="str">
        <x:f>IF('迁盟总表'!E127="","",'迁盟总表'!E127)</x:f>
        <x:v>留盟</x:v>
      </x:c>
      <x:c r="E30" s="40" t="n">
        <x:f>IF('迁盟总表'!Q127="","",'迁盟总表'!Q127)</x:f>
        <x:v>247981412</x:v>
      </x:c>
      <x:c r="F30" s="40" t="n">
        <x:f>IF('迁盟总表'!R127="","",'迁盟总表'!R127)</x:f>
        <x:v>95313974</x:v>
      </x:c>
      <x:c r="G30" s="40" t="n">
        <x:f>IF('迁盟总表'!S127="","",'迁盟总表'!S127)</x:f>
        <x:v>343551762</x:v>
      </x:c>
      <x:c r="H30" s="37" t="str">
        <x:f>IF('迁盟总表'!H127="","",'迁盟总表'!H127)</x:f>
      </x:c>
      <x:c r="I30" s="37" t="str">
        <x:f>IF('迁盟总表'!I127="","",'迁盟总表'!I127)</x:f>
      </x:c>
      <x:c r="J30" s="40" t="str">
        <x:f>IF('迁盟总表'!J127="","",'迁盟总表'!J127)</x:f>
      </x:c>
      <x:c r="K30" s="40" t="str">
        <x:f>IF('迁盟总表'!K127="","",'迁盟总表'!K127)</x:f>
      </x:c>
      <x:c r="L30" s="40" t="str">
        <x:f>IF('迁盟总表'!L127="","",'迁盟总表'!L127)</x:f>
      </x:c>
      <x:c r="M30" s="40" t="str">
        <x:f>IF('迁盟总表'!M127="","",'迁盟总表'!M127)</x:f>
      </x:c>
      <x:c r="N30" s="40" t="str">
        <x:f>IF('迁盟总表'!N127="","",'迁盟总表'!N127)</x:f>
      </x:c>
      <x:c r="O30" s="40" t="str">
        <x:f>IF('迁盟总表'!O127="","",'迁盟总表'!O127)</x:f>
      </x:c>
      <x:c r="P30" s="40" t="str">
        <x:f>IF('迁盟总表'!P127="","",'迁盟总表'!P127)</x:f>
      </x:c>
      <x:c r="Q30" s="43" t="n">
        <x:f>IF('迁盟总表'!X127="","",'迁盟总表'!X127)</x:f>
        <x:v>75.3</x:v>
      </x:c>
      <x:c r="R30" s="27" t="n">
        <x:f>IF('迁盟总表'!Y127="","",'迁盟总表'!Y127)</x:f>
        <x:v>102</x:v>
      </x:c>
      <x:c r="S30" s="55" t="str">
        <x:f>IF('迁盟总表'!Z127="","",'迁盟总表'!Z127)</x:f>
        <x:v>保持当前盟，减少迁移成本</x:v>
      </x:c>
    </x:row>
    <x:row r="31" ht="20" customHeight="1">
      <x:c r="A31" s="26" t="str">
        <x:f>IF('迁盟总表'!B128="","",'迁盟总表'!B128)</x:f>
        <x:v>情灬川</x:v>
      </x:c>
      <x:c r="B31" s="27" t="str">
        <x:f>IF('迁盟总表'!C128="","",'迁盟总表'!C128)</x:f>
        <x:v>花晨</x:v>
      </x:c>
      <x:c r="C31" s="61" t="str">
        <x:f>IF('迁盟总表'!D128="","",'迁盟总表'!D128)</x:f>
        <x:v>花晨</x:v>
      </x:c>
      <x:c r="D31" s="27" t="str">
        <x:f>IF('迁盟总表'!E128="","",'迁盟总表'!E128)</x:f>
        <x:v>留盟</x:v>
      </x:c>
      <x:c r="E31" s="40" t="n">
        <x:f>IF('迁盟总表'!Q128="","",'迁盟总表'!Q128)</x:f>
        <x:v>6476681480</x:v>
      </x:c>
      <x:c r="F31" s="40" t="n">
        <x:f>IF('迁盟总表'!R128="","",'迁盟总表'!R128)</x:f>
        <x:v>86795669</x:v>
      </x:c>
      <x:c r="G31" s="40" t="n">
        <x:f>IF('迁盟总表'!S128="","",'迁盟总表'!S128)</x:f>
        <x:v>246462841</x:v>
      </x:c>
      <x:c r="H31" s="37" t="n">
        <x:f>IF('迁盟总表'!H128="","",'迁盟总表'!H128)</x:f>
        <x:v>28.8</x:v>
      </x:c>
      <x:c r="I31" s="37" t="n">
        <x:f>IF('迁盟总表'!I128="","",'迁盟总表'!I128)</x:f>
        <x:v>26.5</x:v>
      </x:c>
      <x:c r="J31" s="40" t="n">
        <x:f>IF('迁盟总表'!J128="","",'迁盟总表'!J128)</x:f>
        <x:v>729</x:v>
      </x:c>
      <x:c r="K31" s="40" t="n">
        <x:f>IF('迁盟总表'!K128="","",'迁盟总表'!K128)</x:f>
        <x:v>846</x:v>
      </x:c>
      <x:c r="L31" s="40" t="n">
        <x:f>IF('迁盟总表'!L128="","",'迁盟总表'!L128)</x:f>
        <x:v>702</x:v>
      </x:c>
      <x:c r="M31" s="40" t="n">
        <x:f>IF('迁盟总表'!M128="","",'迁盟总表'!M128)</x:f>
        <x:v>586</x:v>
      </x:c>
      <x:c r="N31" s="40" t="n">
        <x:f>IF('迁盟总表'!N128="","",'迁盟总表'!N128)</x:f>
        <x:v>755</x:v>
      </x:c>
      <x:c r="O31" s="40" t="n">
        <x:f>IF('迁盟总表'!O128="","",'迁盟总表'!O128)</x:f>
        <x:v>769</x:v>
      </x:c>
      <x:c r="P31" s="40" t="n">
        <x:f>IF('迁盟总表'!P128="","",'迁盟总表'!P128)</x:f>
        <x:v>4387</x:v>
      </x:c>
      <x:c r="Q31" s="43" t="n">
        <x:f>IF('迁盟总表'!X128="","",'迁盟总表'!X128)</x:f>
        <x:v>75.2</x:v>
      </x:c>
      <x:c r="R31" s="27" t="n">
        <x:f>IF('迁盟总表'!Y128="","",'迁盟总表'!Y128)</x:f>
        <x:v>105</x:v>
      </x:c>
      <x:c r="S31" s="55" t="str">
        <x:f>IF('迁盟总表'!Z128="","",'迁盟总表'!Z128)</x:f>
        <x:v>保持当前盟，减少迁移成本</x:v>
      </x:c>
    </x:row>
    <x:row r="32" ht="20" customHeight="1">
      <x:c r="A32" s="26" t="str">
        <x:f>IF('迁盟总表'!B129="","",'迁盟总表'!B129)</x:f>
        <x:v>秦九鹿</x:v>
      </x:c>
      <x:c r="B32" s="27" t="str">
        <x:f>IF('迁盟总表'!C129="","",'迁盟总表'!C129)</x:f>
        <x:v>花晨</x:v>
      </x:c>
      <x:c r="C32" s="61" t="str">
        <x:f>IF('迁盟总表'!D129="","",'迁盟总表'!D129)</x:f>
        <x:v>花晨</x:v>
      </x:c>
      <x:c r="D32" s="27" t="str">
        <x:f>IF('迁盟总表'!E129="","",'迁盟总表'!E129)</x:f>
        <x:v>留盟</x:v>
      </x:c>
      <x:c r="E32" s="40" t="n">
        <x:f>IF('迁盟总表'!Q129="","",'迁盟总表'!Q129)</x:f>
        <x:v>1794530198</x:v>
      </x:c>
      <x:c r="F32" s="40" t="n">
        <x:f>IF('迁盟总表'!R129="","",'迁盟总表'!R129)</x:f>
        <x:v>91266487</x:v>
      </x:c>
      <x:c r="G32" s="40" t="n">
        <x:f>IF('迁盟总表'!S129="","",'迁盟总表'!S129)</x:f>
        <x:v>271981515</x:v>
      </x:c>
      <x:c r="H32" s="37" t="n">
        <x:f>IF('迁盟总表'!H129="","",'迁盟总表'!H129)</x:f>
        <x:v>28.8</x:v>
      </x:c>
      <x:c r="I32" s="37" t="n">
        <x:f>IF('迁盟总表'!I129="","",'迁盟总表'!I129)</x:f>
        <x:v>22.5</x:v>
      </x:c>
      <x:c r="J32" s="40" t="n">
        <x:f>IF('迁盟总表'!J129="","",'迁盟总表'!J129)</x:f>
        <x:v>685</x:v>
      </x:c>
      <x:c r="K32" s="40" t="n">
        <x:f>IF('迁盟总表'!K129="","",'迁盟总表'!K129)</x:f>
        <x:v>919</x:v>
      </x:c>
      <x:c r="L32" s="40" t="n">
        <x:f>IF('迁盟总表'!L129="","",'迁盟总表'!L129)</x:f>
        <x:v>646</x:v>
      </x:c>
      <x:c r="M32" s="40" t="n">
        <x:f>IF('迁盟总表'!M129="","",'迁盟总表'!M129)</x:f>
        <x:v>661</x:v>
      </x:c>
      <x:c r="N32" s="40" t="n">
        <x:f>IF('迁盟总表'!N129="","",'迁盟总表'!N129)</x:f>
        <x:v>710</x:v>
      </x:c>
      <x:c r="O32" s="40" t="n">
        <x:f>IF('迁盟总表'!O129="","",'迁盟总表'!O129)</x:f>
        <x:v>834</x:v>
      </x:c>
      <x:c r="P32" s="40" t="n">
        <x:f>IF('迁盟总表'!P129="","",'迁盟总表'!P129)</x:f>
        <x:v>4455</x:v>
      </x:c>
      <x:c r="Q32" s="43" t="n">
        <x:f>IF('迁盟总表'!X129="","",'迁盟总表'!X129)</x:f>
        <x:v>75</x:v>
      </x:c>
      <x:c r="R32" s="27" t="n">
        <x:f>IF('迁盟总表'!Y129="","",'迁盟总表'!Y129)</x:f>
        <x:v>109</x:v>
      </x:c>
      <x:c r="S32" s="55" t="str">
        <x:f>IF('迁盟总表'!Z129="","",'迁盟总表'!Z129)</x:f>
        <x:v>保持当前盟，减少迁移成本</x:v>
      </x:c>
    </x:row>
    <x:row r="33" ht="20" customHeight="1">
      <x:c r="A33" s="26" t="str">
        <x:f>IF('迁盟总表'!B130="","",'迁盟总表'!B130)</x:f>
        <x:v>魂天帝</x:v>
      </x:c>
      <x:c r="B33" s="27" t="str">
        <x:f>IF('迁盟总表'!C130="","",'迁盟总表'!C130)</x:f>
        <x:v>花晨</x:v>
      </x:c>
      <x:c r="C33" s="61" t="str">
        <x:f>IF('迁盟总表'!D130="","",'迁盟总表'!D130)</x:f>
        <x:v>花晨</x:v>
      </x:c>
      <x:c r="D33" s="27" t="str">
        <x:f>IF('迁盟总表'!E130="","",'迁盟总表'!E130)</x:f>
        <x:v>留盟</x:v>
      </x:c>
      <x:c r="E33" s="40" t="n">
        <x:f>IF('迁盟总表'!Q130="","",'迁盟总表'!Q130)</x:f>
        <x:v>5899834976</x:v>
      </x:c>
      <x:c r="F33" s="40" t="n">
        <x:f>IF('迁盟总表'!R130="","",'迁盟总表'!R130)</x:f>
        <x:v>84896435</x:v>
      </x:c>
      <x:c r="G33" s="40" t="n">
        <x:f>IF('迁盟总表'!S130="","",'迁盟总表'!S130)</x:f>
        <x:v>282448387</x:v>
      </x:c>
      <x:c r="H33" s="37" t="n">
        <x:f>IF('迁盟总表'!H130="","",'迁盟总表'!H130)</x:f>
        <x:v>27.8</x:v>
      </x:c>
      <x:c r="I33" s="37" t="n">
        <x:f>IF('迁盟总表'!I130="","",'迁盟总表'!I130)</x:f>
        <x:v>22.5</x:v>
      </x:c>
      <x:c r="J33" s="40" t="n">
        <x:f>IF('迁盟总表'!J130="","",'迁盟总表'!J130)</x:f>
        <x:v>680</x:v>
      </x:c>
      <x:c r="K33" s="40" t="n">
        <x:f>IF('迁盟总表'!K130="","",'迁盟总表'!K130)</x:f>
        <x:v>762</x:v>
      </x:c>
      <x:c r="L33" s="40" t="n">
        <x:f>IF('迁盟总表'!L130="","",'迁盟总表'!L130)</x:f>
        <x:v>642</x:v>
      </x:c>
      <x:c r="M33" s="40" t="n">
        <x:f>IF('迁盟总表'!M130="","",'迁盟总表'!M130)</x:f>
        <x:v>596</x:v>
      </x:c>
      <x:c r="N33" s="40" t="n">
        <x:f>IF('迁盟总表'!N130="","",'迁盟总表'!N130)</x:f>
        <x:v>699</x:v>
      </x:c>
      <x:c r="O33" s="40" t="n">
        <x:f>IF('迁盟总表'!O130="","",'迁盟总表'!O130)</x:f>
        <x:v>613</x:v>
      </x:c>
      <x:c r="P33" s="40" t="n">
        <x:f>IF('迁盟总表'!P130="","",'迁盟总表'!P130)</x:f>
        <x:v>3992</x:v>
      </x:c>
      <x:c r="Q33" s="43" t="n">
        <x:f>IF('迁盟总表'!X130="","",'迁盟总表'!X130)</x:f>
        <x:v>74.9</x:v>
      </x:c>
      <x:c r="R33" s="27" t="n">
        <x:f>IF('迁盟总表'!Y130="","",'迁盟总表'!Y130)</x:f>
        <x:v>111</x:v>
      </x:c>
      <x:c r="S33" s="55" t="str">
        <x:f>IF('迁盟总表'!Z130="","",'迁盟总表'!Z130)</x:f>
        <x:v>保持当前盟，减少迁移成本</x:v>
      </x:c>
    </x:row>
    <x:row r="34" ht="20" customHeight="1">
      <x:c r="A34" s="26" t="str">
        <x:f>IF('迁盟总表'!B131="","",'迁盟总表'!B131)</x:f>
        <x:v>紫默半夏</x:v>
      </x:c>
      <x:c r="B34" s="27" t="str">
        <x:f>IF('迁盟总表'!C131="","",'迁盟总表'!C131)</x:f>
        <x:v>花晨</x:v>
      </x:c>
      <x:c r="C34" s="61" t="str">
        <x:f>IF('迁盟总表'!D131="","",'迁盟总表'!D131)</x:f>
        <x:v>花晨</x:v>
      </x:c>
      <x:c r="D34" s="27" t="str">
        <x:f>IF('迁盟总表'!E131="","",'迁盟总表'!E131)</x:f>
        <x:v>留盟</x:v>
      </x:c>
      <x:c r="E34" s="40" t="n">
        <x:f>IF('迁盟总表'!Q131="","",'迁盟总表'!Q131)</x:f>
        <x:v>4019877578</x:v>
      </x:c>
      <x:c r="F34" s="40" t="n">
        <x:f>IF('迁盟总表'!R131="","",'迁盟总表'!R131)</x:f>
        <x:v>88196086</x:v>
      </x:c>
      <x:c r="G34" s="40" t="n">
        <x:f>IF('迁盟总表'!S131="","",'迁盟总表'!S131)</x:f>
        <x:v>276314820</x:v>
      </x:c>
      <x:c r="H34" s="37" t="n">
        <x:f>IF('迁盟总表'!H131="","",'迁盟总表'!H131)</x:f>
        <x:v>28</x:v>
      </x:c>
      <x:c r="I34" s="37" t="n">
        <x:f>IF('迁盟总表'!I131="","",'迁盟总表'!I131)</x:f>
        <x:v>28</x:v>
      </x:c>
      <x:c r="J34" s="40" t="n">
        <x:f>IF('迁盟总表'!J131="","",'迁盟总表'!J131)</x:f>
        <x:v>737</x:v>
      </x:c>
      <x:c r="K34" s="40" t="n">
        <x:f>IF('迁盟总表'!K131="","",'迁盟总表'!K131)</x:f>
        <x:v>815</x:v>
      </x:c>
      <x:c r="L34" s="40" t="n">
        <x:f>IF('迁盟总表'!L131="","",'迁盟总表'!L131)</x:f>
        <x:v>588</x:v>
      </x:c>
      <x:c r="M34" s="40" t="n">
        <x:f>IF('迁盟总表'!M131="","",'迁盟总表'!M131)</x:f>
        <x:v>514</x:v>
      </x:c>
      <x:c r="N34" s="40" t="n">
        <x:f>IF('迁盟总表'!N131="","",'迁盟总表'!N131)</x:f>
        <x:v>704</x:v>
      </x:c>
      <x:c r="O34" s="40" t="n">
        <x:f>IF('迁盟总表'!O131="","",'迁盟总表'!O131)</x:f>
        <x:v>605</x:v>
      </x:c>
      <x:c r="P34" s="40" t="n">
        <x:f>IF('迁盟总表'!P131="","",'迁盟总表'!P131)</x:f>
        <x:v>3963</x:v>
      </x:c>
      <x:c r="Q34" s="43" t="n">
        <x:f>IF('迁盟总表'!X131="","",'迁盟总表'!X131)</x:f>
        <x:v>74.9</x:v>
      </x:c>
      <x:c r="R34" s="27" t="n">
        <x:f>IF('迁盟总表'!Y131="","",'迁盟总表'!Y131)</x:f>
        <x:v>111</x:v>
      </x:c>
      <x:c r="S34" s="55" t="str">
        <x:f>IF('迁盟总表'!Z131="","",'迁盟总表'!Z131)</x:f>
        <x:v>保持当前盟，减少迁移成本</x:v>
      </x:c>
    </x:row>
    <x:row r="35" ht="20" customHeight="1">
      <x:c r="A35" s="26" t="str">
        <x:f>IF('迁盟总表'!B132="","",'迁盟总表'!B132)</x:f>
        <x:v>清醒小姐姐</x:v>
      </x:c>
      <x:c r="B35" s="27" t="str">
        <x:f>IF('迁盟总表'!C132="","",'迁盟总表'!C132)</x:f>
        <x:v>花晨</x:v>
      </x:c>
      <x:c r="C35" s="61" t="str">
        <x:f>IF('迁盟总表'!D132="","",'迁盟总表'!D132)</x:f>
        <x:v>花晨</x:v>
      </x:c>
      <x:c r="D35" s="27" t="str">
        <x:f>IF('迁盟总表'!E132="","",'迁盟总表'!E132)</x:f>
        <x:v>留盟</x:v>
      </x:c>
      <x:c r="E35" s="40" t="n">
        <x:f>IF('迁盟总表'!Q132="","",'迁盟总表'!Q132)</x:f>
        <x:v>1847124230</x:v>
      </x:c>
      <x:c r="F35" s="40" t="n">
        <x:f>IF('迁盟总表'!R132="","",'迁盟总表'!R132)</x:f>
        <x:v>90110227</x:v>
      </x:c>
      <x:c r="G35" s="40" t="n">
        <x:f>IF('迁盟总表'!S132="","",'迁盟总表'!S132)</x:f>
        <x:v>306000353</x:v>
      </x:c>
      <x:c r="H35" s="37" t="n">
        <x:f>IF('迁盟总表'!H132="","",'迁盟总表'!H132)</x:f>
        <x:v>25.4</x:v>
      </x:c>
      <x:c r="I35" s="37" t="n">
        <x:f>IF('迁盟总表'!I132="","",'迁盟总表'!I132)</x:f>
        <x:v>25</x:v>
      </x:c>
      <x:c r="J35" s="40" t="n">
        <x:f>IF('迁盟总表'!J132="","",'迁盟总表'!J132)</x:f>
        <x:v>611</x:v>
      </x:c>
      <x:c r="K35" s="40" t="n">
        <x:f>IF('迁盟总表'!K132="","",'迁盟总表'!K132)</x:f>
        <x:v>838</x:v>
      </x:c>
      <x:c r="L35" s="40" t="n">
        <x:f>IF('迁盟总表'!L132="","",'迁盟总表'!L132)</x:f>
        <x:v>569</x:v>
      </x:c>
      <x:c r="M35" s="40" t="n">
        <x:f>IF('迁盟总表'!M132="","",'迁盟总表'!M132)</x:f>
        <x:v>528</x:v>
      </x:c>
      <x:c r="N35" s="40" t="n">
        <x:f>IF('迁盟总表'!N132="","",'迁盟总表'!N132)</x:f>
        <x:v>607</x:v>
      </x:c>
      <x:c r="O35" s="40" t="n">
        <x:f>IF('迁盟总表'!O132="","",'迁盟总表'!O132)</x:f>
        <x:v>716</x:v>
      </x:c>
      <x:c r="P35" s="40" t="n">
        <x:f>IF('迁盟总表'!P132="","",'迁盟总表'!P132)</x:f>
        <x:v>3869</x:v>
      </x:c>
      <x:c r="Q35" s="43" t="n">
        <x:f>IF('迁盟总表'!X132="","",'迁盟总表'!X132)</x:f>
        <x:v>74.8</x:v>
      </x:c>
      <x:c r="R35" s="27" t="n">
        <x:f>IF('迁盟总表'!Y132="","",'迁盟总表'!Y132)</x:f>
        <x:v>113</x:v>
      </x:c>
      <x:c r="S35" s="55" t="str">
        <x:f>IF('迁盟总表'!Z132="","",'迁盟总表'!Z132)</x:f>
        <x:v>保持当前盟，减少迁移成本</x:v>
      </x:c>
    </x:row>
    <x:row r="36" ht="20" customHeight="1">
      <x:c r="A36" s="26" t="str">
        <x:f>IF('迁盟总表'!B133="","",'迁盟总表'!B133)</x:f>
        <x:v>御弟哥哥</x:v>
      </x:c>
      <x:c r="B36" s="27" t="str">
        <x:f>IF('迁盟总表'!C133="","",'迁盟总表'!C133)</x:f>
        <x:v>花晨</x:v>
      </x:c>
      <x:c r="C36" s="61" t="str">
        <x:f>IF('迁盟总表'!D133="","",'迁盟总表'!D133)</x:f>
        <x:v>花晨</x:v>
      </x:c>
      <x:c r="D36" s="27" t="str">
        <x:f>IF('迁盟总表'!E133="","",'迁盟总表'!E133)</x:f>
        <x:v>留盟</x:v>
      </x:c>
      <x:c r="E36" s="40" t="n">
        <x:f>IF('迁盟总表'!Q133="","",'迁盟总表'!Q133)</x:f>
        <x:v>2843664480</x:v>
      </x:c>
      <x:c r="F36" s="40" t="n">
        <x:f>IF('迁盟总表'!R133="","",'迁盟总表'!R133)</x:f>
        <x:v>89858310</x:v>
      </x:c>
      <x:c r="G36" s="40" t="n">
        <x:f>IF('迁盟总表'!S133="","",'迁盟总表'!S133)</x:f>
        <x:v>245047533</x:v>
      </x:c>
      <x:c r="H36" s="37" t="n">
        <x:f>IF('迁盟总表'!H133="","",'迁盟总表'!H133)</x:f>
        <x:v>28.8</x:v>
      </x:c>
      <x:c r="I36" s="37" t="n">
        <x:f>IF('迁盟总表'!I133="","",'迁盟总表'!I133)</x:f>
        <x:v>28.8</x:v>
      </x:c>
      <x:c r="J36" s="40" t="n">
        <x:f>IF('迁盟总表'!J133="","",'迁盟总表'!J133)</x:f>
        <x:v>859</x:v>
      </x:c>
      <x:c r="K36" s="40" t="n">
        <x:f>IF('迁盟总表'!K133="","",'迁盟总表'!K133)</x:f>
        <x:v>828</x:v>
      </x:c>
      <x:c r="L36" s="40" t="n">
        <x:f>IF('迁盟总表'!L133="","",'迁盟总表'!L133)</x:f>
        <x:v>721</x:v>
      </x:c>
      <x:c r="M36" s="40" t="n">
        <x:f>IF('迁盟总表'!M133="","",'迁盟总表'!M133)</x:f>
        <x:v>648</x:v>
      </x:c>
      <x:c r="N36" s="40" t="n">
        <x:f>IF('迁盟总表'!N133="","",'迁盟总表'!N133)</x:f>
        <x:v>749</x:v>
      </x:c>
      <x:c r="O36" s="40" t="n">
        <x:f>IF('迁盟总表'!O133="","",'迁盟总表'!O133)</x:f>
        <x:v>759</x:v>
      </x:c>
      <x:c r="P36" s="40" t="n">
        <x:f>IF('迁盟总表'!P133="","",'迁盟总表'!P133)</x:f>
        <x:v>4564</x:v>
      </x:c>
      <x:c r="Q36" s="43" t="n">
        <x:f>IF('迁盟总表'!X133="","",'迁盟总表'!X133)</x:f>
        <x:v>74.8</x:v>
      </x:c>
      <x:c r="R36" s="27" t="n">
        <x:f>IF('迁盟总表'!Y133="","",'迁盟总表'!Y133)</x:f>
        <x:v>113</x:v>
      </x:c>
      <x:c r="S36" s="55" t="str">
        <x:f>IF('迁盟总表'!Z133="","",'迁盟总表'!Z133)</x:f>
        <x:v>保持当前盟，减少迁移成本</x:v>
      </x:c>
    </x:row>
    <x:row r="37" ht="20" customHeight="1">
      <x:c r="A37" s="26" t="str">
        <x:f>IF('迁盟总表'!B134="","",'迁盟总表'!B134)</x:f>
        <x:v>灬砂糖橘丶</x:v>
      </x:c>
      <x:c r="B37" s="27" t="str">
        <x:f>IF('迁盟总表'!C134="","",'迁盟总表'!C134)</x:f>
        <x:v>花晨</x:v>
      </x:c>
      <x:c r="C37" s="61" t="str">
        <x:f>IF('迁盟总表'!D134="","",'迁盟总表'!D134)</x:f>
        <x:v>花晨</x:v>
      </x:c>
      <x:c r="D37" s="27" t="str">
        <x:f>IF('迁盟总表'!E134="","",'迁盟总表'!E134)</x:f>
        <x:v>留盟</x:v>
      </x:c>
      <x:c r="E37" s="40" t="n">
        <x:f>IF('迁盟总表'!Q134="","",'迁盟总表'!Q134)</x:f>
        <x:v>8672145449</x:v>
      </x:c>
      <x:c r="F37" s="40" t="n">
        <x:f>IF('迁盟总表'!R134="","",'迁盟总表'!R134)</x:f>
        <x:v>85193314</x:v>
      </x:c>
      <x:c r="G37" s="40" t="n">
        <x:f>IF('迁盟总表'!S134="","",'迁盟总表'!S134)</x:f>
        <x:v>202281842</x:v>
      </x:c>
      <x:c r="H37" s="37" t="n">
        <x:f>IF('迁盟总表'!H134="","",'迁盟总表'!H134)</x:f>
        <x:v>28.8</x:v>
      </x:c>
      <x:c r="I37" s="37" t="n">
        <x:f>IF('迁盟总表'!I134="","",'迁盟总表'!I134)</x:f>
        <x:v>28.8</x:v>
      </x:c>
      <x:c r="J37" s="40" t="n">
        <x:f>IF('迁盟总表'!J134="","",'迁盟总表'!J134)</x:f>
        <x:v>811</x:v>
      </x:c>
      <x:c r="K37" s="40" t="n">
        <x:f>IF('迁盟总表'!K134="","",'迁盟总表'!K134)</x:f>
        <x:v>910</x:v>
      </x:c>
      <x:c r="L37" s="40" t="n">
        <x:f>IF('迁盟总表'!L134="","",'迁盟总表'!L134)</x:f>
        <x:v>726</x:v>
      </x:c>
      <x:c r="M37" s="40" t="n">
        <x:f>IF('迁盟总表'!M134="","",'迁盟总表'!M134)</x:f>
        <x:v>588</x:v>
      </x:c>
      <x:c r="N37" s="40" t="n">
        <x:f>IF('迁盟总表'!N134="","",'迁盟总表'!N134)</x:f>
        <x:v>771</x:v>
      </x:c>
      <x:c r="O37" s="40" t="n">
        <x:f>IF('迁盟总表'!O134="","",'迁盟总表'!O134)</x:f>
        <x:v>789</x:v>
      </x:c>
      <x:c r="P37" s="40" t="n">
        <x:f>IF('迁盟总表'!P134="","",'迁盟总表'!P134)</x:f>
        <x:v>4595</x:v>
      </x:c>
      <x:c r="Q37" s="43" t="n">
        <x:f>IF('迁盟总表'!X134="","",'迁盟总表'!X134)</x:f>
        <x:v>74.3</x:v>
      </x:c>
      <x:c r="R37" s="27" t="n">
        <x:f>IF('迁盟总表'!Y134="","",'迁盟总表'!Y134)</x:f>
        <x:v>121</x:v>
      </x:c>
      <x:c r="S37" s="55" t="str">
        <x:f>IF('迁盟总表'!Z134="","",'迁盟总表'!Z134)</x:f>
        <x:v>保持当前盟，减少迁移成本</x:v>
      </x:c>
    </x:row>
    <x:row r="38" ht="20" customHeight="1">
      <x:c r="A38" s="26" t="str">
        <x:f>IF('迁盟总表'!B135="","",'迁盟总表'!B135)</x:f>
        <x:v>妮心心</x:v>
      </x:c>
      <x:c r="B38" s="27" t="str">
        <x:f>IF('迁盟总表'!C135="","",'迁盟总表'!C135)</x:f>
        <x:v>花晨</x:v>
      </x:c>
      <x:c r="C38" s="61" t="str">
        <x:f>IF('迁盟总表'!D135="","",'迁盟总表'!D135)</x:f>
        <x:v>花晨</x:v>
      </x:c>
      <x:c r="D38" s="27" t="str">
        <x:f>IF('迁盟总表'!E135="","",'迁盟总表'!E135)</x:f>
        <x:v>留盟</x:v>
      </x:c>
      <x:c r="E38" s="40" t="n">
        <x:f>IF('迁盟总表'!Q135="","",'迁盟总表'!Q135)</x:f>
        <x:v>959278674</x:v>
      </x:c>
      <x:c r="F38" s="40" t="n">
        <x:f>IF('迁盟总表'!R135="","",'迁盟总表'!R135)</x:f>
        <x:v>86840700</x:v>
      </x:c>
      <x:c r="G38" s="40" t="n">
        <x:f>IF('迁盟总表'!S135="","",'迁盟总表'!S135)</x:f>
        <x:v>306028679</x:v>
      </x:c>
      <x:c r="H38" s="37" t="str">
        <x:f>IF('迁盟总表'!H135="","",'迁盟总表'!H135)</x:f>
      </x:c>
      <x:c r="I38" s="37" t="str">
        <x:f>IF('迁盟总表'!I135="","",'迁盟总表'!I135)</x:f>
      </x:c>
      <x:c r="J38" s="40" t="str">
        <x:f>IF('迁盟总表'!J135="","",'迁盟总表'!J135)</x:f>
      </x:c>
      <x:c r="K38" s="40" t="str">
        <x:f>IF('迁盟总表'!K135="","",'迁盟总表'!K135)</x:f>
      </x:c>
      <x:c r="L38" s="40" t="str">
        <x:f>IF('迁盟总表'!L135="","",'迁盟总表'!L135)</x:f>
      </x:c>
      <x:c r="M38" s="40" t="str">
        <x:f>IF('迁盟总表'!M135="","",'迁盟总表'!M135)</x:f>
      </x:c>
      <x:c r="N38" s="40" t="str">
        <x:f>IF('迁盟总表'!N135="","",'迁盟总表'!N135)</x:f>
      </x:c>
      <x:c r="O38" s="40" t="str">
        <x:f>IF('迁盟总表'!O135="","",'迁盟总表'!O135)</x:f>
      </x:c>
      <x:c r="P38" s="40" t="str">
        <x:f>IF('迁盟总表'!P135="","",'迁盟总表'!P135)</x:f>
      </x:c>
      <x:c r="Q38" s="43" t="n">
        <x:f>IF('迁盟总表'!X135="","",'迁盟总表'!X135)</x:f>
        <x:v>74.2</x:v>
      </x:c>
      <x:c r="R38" s="27" t="n">
        <x:f>IF('迁盟总表'!Y135="","",'迁盟总表'!Y135)</x:f>
        <x:v>123</x:v>
      </x:c>
      <x:c r="S38" s="55" t="str">
        <x:f>IF('迁盟总表'!Z135="","",'迁盟总表'!Z135)</x:f>
        <x:v>保持当前盟，减少迁移成本</x:v>
      </x:c>
    </x:row>
    <x:row r="39" ht="20" customHeight="1">
      <x:c r="A39" s="26" t="str">
        <x:f>IF('迁盟总表'!B136="","",'迁盟总表'!B136)</x:f>
        <x:v>大圣哥</x:v>
      </x:c>
      <x:c r="B39" s="27" t="str">
        <x:f>IF('迁盟总表'!C136="","",'迁盟总表'!C136)</x:f>
        <x:v>花晨</x:v>
      </x:c>
      <x:c r="C39" s="61" t="str">
        <x:f>IF('迁盟总表'!D136="","",'迁盟总表'!D136)</x:f>
        <x:v>花晨</x:v>
      </x:c>
      <x:c r="D39" s="27" t="str">
        <x:f>IF('迁盟总表'!E136="","",'迁盟总表'!E136)</x:f>
        <x:v>留盟</x:v>
      </x:c>
      <x:c r="E39" s="40" t="n">
        <x:f>IF('迁盟总表'!Q136="","",'迁盟总表'!Q136)</x:f>
        <x:v>2398030892</x:v>
      </x:c>
      <x:c r="F39" s="40" t="n">
        <x:f>IF('迁盟总表'!R136="","",'迁盟总表'!R136)</x:f>
        <x:v>87649184</x:v>
      </x:c>
      <x:c r="G39" s="40" t="n">
        <x:f>IF('迁盟总表'!S136="","",'迁盟总表'!S136)</x:f>
        <x:v>262812523</x:v>
      </x:c>
      <x:c r="H39" s="37" t="n">
        <x:f>IF('迁盟总表'!H136="","",'迁盟总表'!H136)</x:f>
        <x:v>28.8</x:v>
      </x:c>
      <x:c r="I39" s="37" t="n">
        <x:f>IF('迁盟总表'!I136="","",'迁盟总表'!I136)</x:f>
        <x:v>22.5</x:v>
      </x:c>
      <x:c r="J39" s="40" t="n">
        <x:f>IF('迁盟总表'!J136="","",'迁盟总表'!J136)</x:f>
        <x:v>766</x:v>
      </x:c>
      <x:c r="K39" s="40" t="n">
        <x:f>IF('迁盟总表'!K136="","",'迁盟总表'!K136)</x:f>
        <x:v>816</x:v>
      </x:c>
      <x:c r="L39" s="40" t="n">
        <x:f>IF('迁盟总表'!L136="","",'迁盟总表'!L136)</x:f>
        <x:v>628</x:v>
      </x:c>
      <x:c r="M39" s="40" t="n">
        <x:f>IF('迁盟总表'!M136="","",'迁盟总表'!M136)</x:f>
        <x:v>592</x:v>
      </x:c>
      <x:c r="N39" s="40" t="n">
        <x:f>IF('迁盟总表'!N136="","",'迁盟总表'!N136)</x:f>
        <x:v>707</x:v>
      </x:c>
      <x:c r="O39" s="40" t="n">
        <x:f>IF('迁盟总表'!O136="","",'迁盟总表'!O136)</x:f>
        <x:v>742</x:v>
      </x:c>
      <x:c r="P39" s="40" t="n">
        <x:f>IF('迁盟总表'!P136="","",'迁盟总表'!P136)</x:f>
        <x:v>4251</x:v>
      </x:c>
      <x:c r="Q39" s="43" t="n">
        <x:f>IF('迁盟总表'!X136="","",'迁盟总表'!X136)</x:f>
        <x:v>73.9</x:v>
      </x:c>
      <x:c r="R39" s="27" t="n">
        <x:f>IF('迁盟总表'!Y136="","",'迁盟总表'!Y136)</x:f>
        <x:v>127</x:v>
      </x:c>
      <x:c r="S39" s="55" t="str">
        <x:f>IF('迁盟总表'!Z136="","",'迁盟总表'!Z136)</x:f>
        <x:v>保持当前盟，减少迁移成本</x:v>
      </x:c>
    </x:row>
    <x:row r="40" ht="20" customHeight="1">
      <x:c r="A40" s="26" t="str">
        <x:f>IF('迁盟总表'!B137="","",'迁盟总表'!B137)</x:f>
        <x:v>陌陌的默默</x:v>
      </x:c>
      <x:c r="B40" s="27" t="str">
        <x:f>IF('迁盟总表'!C137="","",'迁盟总表'!C137)</x:f>
        <x:v>花晨</x:v>
      </x:c>
      <x:c r="C40" s="61" t="str">
        <x:f>IF('迁盟总表'!D137="","",'迁盟总表'!D137)</x:f>
        <x:v>花晨</x:v>
      </x:c>
      <x:c r="D40" s="27" t="str">
        <x:f>IF('迁盟总表'!E137="","",'迁盟总表'!E137)</x:f>
        <x:v>留盟</x:v>
      </x:c>
      <x:c r="E40" s="40" t="n">
        <x:f>IF('迁盟总表'!Q137="","",'迁盟总表'!Q137)</x:f>
        <x:v>1418993918</x:v>
      </x:c>
      <x:c r="F40" s="40" t="n">
        <x:f>IF('迁盟总表'!R137="","",'迁盟总表'!R137)</x:f>
        <x:v>86633044</x:v>
      </x:c>
      <x:c r="G40" s="40" t="n">
        <x:f>IF('迁盟总表'!S137="","",'迁盟总表'!S137)</x:f>
        <x:v>318362776</x:v>
      </x:c>
      <x:c r="H40" s="37" t="n">
        <x:f>IF('迁盟总表'!H137="","",'迁盟总表'!H137)</x:f>
        <x:v>28.7</x:v>
      </x:c>
      <x:c r="I40" s="37" t="n">
        <x:f>IF('迁盟总表'!I137="","",'迁盟总表'!I137)</x:f>
        <x:v>26.2</x:v>
      </x:c>
      <x:c r="J40" s="40" t="n">
        <x:f>IF('迁盟总表'!J137="","",'迁盟总表'!J137)</x:f>
        <x:v>711</x:v>
      </x:c>
      <x:c r="K40" s="40" t="n">
        <x:f>IF('迁盟总表'!K137="","",'迁盟总表'!K137)</x:f>
        <x:v>742</x:v>
      </x:c>
      <x:c r="L40" s="40" t="n">
        <x:f>IF('迁盟总表'!L137="","",'迁盟总表'!L137)</x:f>
        <x:v>624</x:v>
      </x:c>
      <x:c r="M40" s="40" t="n">
        <x:f>IF('迁盟总表'!M137="","",'迁盟总表'!M137)</x:f>
        <x:v>499</x:v>
      </x:c>
      <x:c r="N40" s="40" t="n">
        <x:f>IF('迁盟总表'!N137="","",'迁盟总表'!N137)</x:f>
        <x:v>708</x:v>
      </x:c>
      <x:c r="O40" s="40" t="n">
        <x:f>IF('迁盟总表'!O137="","",'迁盟总表'!O137)</x:f>
        <x:v>658</x:v>
      </x:c>
      <x:c r="P40" s="40" t="n">
        <x:f>IF('迁盟总表'!P137="","",'迁盟总表'!P137)</x:f>
        <x:v>3942</x:v>
      </x:c>
      <x:c r="Q40" s="43" t="n">
        <x:f>IF('迁盟总表'!X137="","",'迁盟总表'!X137)</x:f>
        <x:v>73.9</x:v>
      </x:c>
      <x:c r="R40" s="27" t="n">
        <x:f>IF('迁盟总表'!Y137="","",'迁盟总表'!Y137)</x:f>
        <x:v>127</x:v>
      </x:c>
      <x:c r="S40" s="55" t="str">
        <x:f>IF('迁盟总表'!Z137="","",'迁盟总表'!Z137)</x:f>
        <x:v>保持当前盟，减少迁移成本</x:v>
      </x:c>
    </x:row>
    <x:row r="41" ht="20" customHeight="1">
      <x:c r="A41" s="26" t="str">
        <x:f>IF('迁盟总表'!B138="","",'迁盟总表'!B138)</x:f>
        <x:v>小石头</x:v>
      </x:c>
      <x:c r="B41" s="27" t="str">
        <x:f>IF('迁盟总表'!C138="","",'迁盟总表'!C138)</x:f>
        <x:v>花晨</x:v>
      </x:c>
      <x:c r="C41" s="61" t="str">
        <x:f>IF('迁盟总表'!D138="","",'迁盟总表'!D138)</x:f>
        <x:v>花晨</x:v>
      </x:c>
      <x:c r="D41" s="27" t="str">
        <x:f>IF('迁盟总表'!E138="","",'迁盟总表'!E138)</x:f>
        <x:v>留盟</x:v>
      </x:c>
      <x:c r="E41" s="40" t="n">
        <x:f>IF('迁盟总表'!Q138="","",'迁盟总表'!Q138)</x:f>
        <x:v>996704614</x:v>
      </x:c>
      <x:c r="F41" s="40" t="n">
        <x:f>IF('迁盟总表'!R138="","",'迁盟总表'!R138)</x:f>
        <x:v>89043424</x:v>
      </x:c>
      <x:c r="G41" s="40" t="n">
        <x:f>IF('迁盟总表'!S138="","",'迁盟总表'!S138)</x:f>
        <x:v>267942534</x:v>
      </x:c>
      <x:c r="H41" s="37" t="str">
        <x:f>IF('迁盟总表'!H138="","",'迁盟总表'!H138)</x:f>
      </x:c>
      <x:c r="I41" s="37" t="str">
        <x:f>IF('迁盟总表'!I138="","",'迁盟总表'!I138)</x:f>
      </x:c>
      <x:c r="J41" s="40" t="str">
        <x:f>IF('迁盟总表'!J138="","",'迁盟总表'!J138)</x:f>
      </x:c>
      <x:c r="K41" s="40" t="str">
        <x:f>IF('迁盟总表'!K138="","",'迁盟总表'!K138)</x:f>
      </x:c>
      <x:c r="L41" s="40" t="str">
        <x:f>IF('迁盟总表'!L138="","",'迁盟总表'!L138)</x:f>
      </x:c>
      <x:c r="M41" s="40" t="str">
        <x:f>IF('迁盟总表'!M138="","",'迁盟总表'!M138)</x:f>
      </x:c>
      <x:c r="N41" s="40" t="str">
        <x:f>IF('迁盟总表'!N138="","",'迁盟总表'!N138)</x:f>
      </x:c>
      <x:c r="O41" s="40" t="str">
        <x:f>IF('迁盟总表'!O138="","",'迁盟总表'!O138)</x:f>
      </x:c>
      <x:c r="P41" s="40" t="str">
        <x:f>IF('迁盟总表'!P138="","",'迁盟总表'!P138)</x:f>
      </x:c>
      <x:c r="Q41" s="43" t="n">
        <x:f>IF('迁盟总表'!X138="","",'迁盟总表'!X138)</x:f>
        <x:v>73.7</x:v>
      </x:c>
      <x:c r="R41" s="27" t="n">
        <x:f>IF('迁盟总表'!Y138="","",'迁盟总表'!Y138)</x:f>
        <x:v>132</x:v>
      </x:c>
      <x:c r="S41" s="55" t="str">
        <x:f>IF('迁盟总表'!Z138="","",'迁盟总表'!Z138)</x:f>
        <x:v>保持当前盟，减少迁移成本</x:v>
      </x:c>
    </x:row>
    <x:row r="42" ht="20" customHeight="1">
      <x:c r="A42" s="26" t="str">
        <x:f>IF('迁盟总表'!B139="","",'迁盟总表'!B139)</x:f>
        <x:v>清风明月</x:v>
      </x:c>
      <x:c r="B42" s="27" t="str">
        <x:f>IF('迁盟总表'!C139="","",'迁盟总表'!C139)</x:f>
        <x:v>花晨</x:v>
      </x:c>
      <x:c r="C42" s="61" t="str">
        <x:f>IF('迁盟总表'!D139="","",'迁盟总表'!D139)</x:f>
        <x:v>花晨</x:v>
      </x:c>
      <x:c r="D42" s="27" t="str">
        <x:f>IF('迁盟总表'!E139="","",'迁盟总表'!E139)</x:f>
        <x:v>留盟</x:v>
      </x:c>
      <x:c r="E42" s="40" t="n">
        <x:f>IF('迁盟总表'!Q139="","",'迁盟总表'!Q139)</x:f>
        <x:v>2529096638</x:v>
      </x:c>
      <x:c r="F42" s="40" t="n">
        <x:f>IF('迁盟总表'!R139="","",'迁盟总表'!R139)</x:f>
        <x:v>85924669</x:v>
      </x:c>
      <x:c r="G42" s="40" t="n">
        <x:f>IF('迁盟总表'!S139="","",'迁盟总表'!S139)</x:f>
        <x:v>260169002</x:v>
      </x:c>
      <x:c r="H42" s="37" t="n">
        <x:f>IF('迁盟总表'!H139="","",'迁盟总表'!H139)</x:f>
        <x:v>28.3</x:v>
      </x:c>
      <x:c r="I42" s="37" t="n">
        <x:f>IF('迁盟总表'!I139="","",'迁盟总表'!I139)</x:f>
        <x:v>28.3</x:v>
      </x:c>
      <x:c r="J42" s="40" t="n">
        <x:f>IF('迁盟总表'!J139="","",'迁盟总表'!J139)</x:f>
        <x:v>713</x:v>
      </x:c>
      <x:c r="K42" s="40" t="n">
        <x:f>IF('迁盟总表'!K139="","",'迁盟总表'!K139)</x:f>
        <x:v>800</x:v>
      </x:c>
      <x:c r="L42" s="40" t="n">
        <x:f>IF('迁盟总表'!L139="","",'迁盟总表'!L139)</x:f>
        <x:v>634</x:v>
      </x:c>
      <x:c r="M42" s="40" t="n">
        <x:f>IF('迁盟总表'!M139="","",'迁盟总表'!M139)</x:f>
        <x:v>590</x:v>
      </x:c>
      <x:c r="N42" s="40" t="n">
        <x:f>IF('迁盟总表'!N139="","",'迁盟总表'!N139)</x:f>
        <x:v>685</x:v>
      </x:c>
      <x:c r="O42" s="40" t="n">
        <x:f>IF('迁盟总表'!O139="","",'迁盟总表'!O139)</x:f>
        <x:v>720</x:v>
      </x:c>
      <x:c r="P42" s="40" t="n">
        <x:f>IF('迁盟总表'!P139="","",'迁盟总表'!P139)</x:f>
        <x:v>4142</x:v>
      </x:c>
      <x:c r="Q42" s="43" t="n">
        <x:f>IF('迁盟总表'!X139="","",'迁盟总表'!X139)</x:f>
        <x:v>73.3</x:v>
      </x:c>
      <x:c r="R42" s="27" t="n">
        <x:f>IF('迁盟总表'!Y139="","",'迁盟总表'!Y139)</x:f>
        <x:v>136</x:v>
      </x:c>
      <x:c r="S42" s="55" t="str">
        <x:f>IF('迁盟总表'!Z139="","",'迁盟总表'!Z139)</x:f>
        <x:v>保持当前盟，减少迁移成本</x:v>
      </x:c>
    </x:row>
    <x:row r="43" ht="20" customHeight="1">
      <x:c r="A43" s="26" t="str">
        <x:f>IF('迁盟总表'!B140="","",'迁盟总表'!B140)</x:f>
        <x:v>无双战戟</x:v>
      </x:c>
      <x:c r="B43" s="27" t="str">
        <x:f>IF('迁盟总表'!C140="","",'迁盟总表'!C140)</x:f>
        <x:v>花晨</x:v>
      </x:c>
      <x:c r="C43" s="61" t="str">
        <x:f>IF('迁盟总表'!D140="","",'迁盟总表'!D140)</x:f>
        <x:v>花晨</x:v>
      </x:c>
      <x:c r="D43" s="27" t="str">
        <x:f>IF('迁盟总表'!E140="","",'迁盟总表'!E140)</x:f>
        <x:v>留盟</x:v>
      </x:c>
      <x:c r="E43" s="40" t="n">
        <x:f>IF('迁盟总表'!Q140="","",'迁盟总表'!Q140)</x:f>
        <x:v>2557210926</x:v>
      </x:c>
      <x:c r="F43" s="40" t="n">
        <x:f>IF('迁盟总表'!R140="","",'迁盟总表'!R140)</x:f>
        <x:v>84844077</x:v>
      </x:c>
      <x:c r="G43" s="40" t="n">
        <x:f>IF('迁盟总表'!S140="","",'迁盟总表'!S140)</x:f>
        <x:v>254262839</x:v>
      </x:c>
      <x:c r="H43" s="37" t="n">
        <x:f>IF('迁盟总表'!H140="","",'迁盟总表'!H140)</x:f>
        <x:v>28</x:v>
      </x:c>
      <x:c r="I43" s="37" t="n">
        <x:f>IF('迁盟总表'!I140="","",'迁盟总表'!I140)</x:f>
        <x:v>22.5</x:v>
      </x:c>
      <x:c r="J43" s="40" t="n">
        <x:f>IF('迁盟总表'!J140="","",'迁盟总表'!J140)</x:f>
        <x:v>725</x:v>
      </x:c>
      <x:c r="K43" s="40" t="n">
        <x:f>IF('迁盟总表'!K140="","",'迁盟总表'!K140)</x:f>
        <x:v>876</x:v>
      </x:c>
      <x:c r="L43" s="40" t="n">
        <x:f>IF('迁盟总表'!L140="","",'迁盟总表'!L140)</x:f>
        <x:v>616</x:v>
      </x:c>
      <x:c r="M43" s="40" t="n">
        <x:f>IF('迁盟总表'!M140="","",'迁盟总表'!M140)</x:f>
        <x:v>624</x:v>
      </x:c>
      <x:c r="N43" s="40" t="n">
        <x:f>IF('迁盟总表'!N140="","",'迁盟总表'!N140)</x:f>
        <x:v>732</x:v>
      </x:c>
      <x:c r="O43" s="40" t="n">
        <x:f>IF('迁盟总表'!O140="","",'迁盟总表'!O140)</x:f>
        <x:v>770</x:v>
      </x:c>
      <x:c r="P43" s="40" t="n">
        <x:f>IF('迁盟总表'!P140="","",'迁盟总表'!P140)</x:f>
        <x:v>4343</x:v>
      </x:c>
      <x:c r="Q43" s="43" t="n">
        <x:f>IF('迁盟总表'!X140="","",'迁盟总表'!X140)</x:f>
        <x:v>73.2</x:v>
      </x:c>
      <x:c r="R43" s="27" t="n">
        <x:f>IF('迁盟总表'!Y140="","",'迁盟总表'!Y140)</x:f>
        <x:v>139</x:v>
      </x:c>
      <x:c r="S43" s="55" t="str">
        <x:f>IF('迁盟总表'!Z140="","",'迁盟总表'!Z140)</x:f>
        <x:v>保持当前盟，减少迁移成本</x:v>
      </x:c>
    </x:row>
    <x:row r="44" ht="20" customHeight="1">
      <x:c r="A44" s="26" t="str">
        <x:f>IF('迁盟总表'!B141="","",'迁盟总表'!B141)</x:f>
        <x:v>曾经少年</x:v>
      </x:c>
      <x:c r="B44" s="27" t="str">
        <x:f>IF('迁盟总表'!C141="","",'迁盟总表'!C141)</x:f>
        <x:v>花晨</x:v>
      </x:c>
      <x:c r="C44" s="61" t="str">
        <x:f>IF('迁盟总表'!D141="","",'迁盟总表'!D141)</x:f>
        <x:v>花晨</x:v>
      </x:c>
      <x:c r="D44" s="27" t="str">
        <x:f>IF('迁盟总表'!E141="","",'迁盟总表'!E141)</x:f>
        <x:v>留盟</x:v>
      </x:c>
      <x:c r="E44" s="40" t="n">
        <x:f>IF('迁盟总表'!Q141="","",'迁盟总表'!Q141)</x:f>
        <x:v>3286121122</x:v>
      </x:c>
      <x:c r="F44" s="40" t="n">
        <x:f>IF('迁盟总表'!R141="","",'迁盟总表'!R141)</x:f>
        <x:v>75136562</x:v>
      </x:c>
      <x:c r="G44" s="40" t="n">
        <x:f>IF('迁盟总表'!S141="","",'迁盟总表'!S141)</x:f>
        <x:v>297743104</x:v>
      </x:c>
      <x:c r="H44" s="37" t="str">
        <x:f>IF('迁盟总表'!H141="","",'迁盟总表'!H141)</x:f>
      </x:c>
      <x:c r="I44" s="37" t="str">
        <x:f>IF('迁盟总表'!I141="","",'迁盟总表'!I141)</x:f>
      </x:c>
      <x:c r="J44" s="40" t="str">
        <x:f>IF('迁盟总表'!J141="","",'迁盟总表'!J141)</x:f>
      </x:c>
      <x:c r="K44" s="40" t="str">
        <x:f>IF('迁盟总表'!K141="","",'迁盟总表'!K141)</x:f>
      </x:c>
      <x:c r="L44" s="40" t="str">
        <x:f>IF('迁盟总表'!L141="","",'迁盟总表'!L141)</x:f>
      </x:c>
      <x:c r="M44" s="40" t="str">
        <x:f>IF('迁盟总表'!M141="","",'迁盟总表'!M141)</x:f>
      </x:c>
      <x:c r="N44" s="40" t="str">
        <x:f>IF('迁盟总表'!N141="","",'迁盟总表'!N141)</x:f>
      </x:c>
      <x:c r="O44" s="40" t="str">
        <x:f>IF('迁盟总表'!O141="","",'迁盟总表'!O141)</x:f>
      </x:c>
      <x:c r="P44" s="40" t="str">
        <x:f>IF('迁盟总表'!P141="","",'迁盟总表'!P141)</x:f>
      </x:c>
      <x:c r="Q44" s="43" t="n">
        <x:f>IF('迁盟总表'!X141="","",'迁盟总表'!X141)</x:f>
        <x:v>72.9</x:v>
      </x:c>
      <x:c r="R44" s="27" t="n">
        <x:f>IF('迁盟总表'!Y141="","",'迁盟总表'!Y141)</x:f>
        <x:v>147</x:v>
      </x:c>
      <x:c r="S44" s="55" t="str">
        <x:f>IF('迁盟总表'!Z141="","",'迁盟总表'!Z141)</x:f>
        <x:v>保持当前盟，减少迁移成本</x:v>
      </x:c>
    </x:row>
    <x:row r="45" ht="20" customHeight="1">
      <x:c r="A45" s="26" t="str">
        <x:f>IF('迁盟总表'!B142="","",'迁盟总表'!B142)</x:f>
        <x:v>独具匠心洗洁精</x:v>
      </x:c>
      <x:c r="B45" s="27" t="str">
        <x:f>IF('迁盟总表'!C142="","",'迁盟总表'!C142)</x:f>
        <x:v>花晨</x:v>
      </x:c>
      <x:c r="C45" s="61" t="str">
        <x:f>IF('迁盟总表'!D142="","",'迁盟总表'!D142)</x:f>
        <x:v>花晨</x:v>
      </x:c>
      <x:c r="D45" s="27" t="str">
        <x:f>IF('迁盟总表'!E142="","",'迁盟总表'!E142)</x:f>
        <x:v>留盟</x:v>
      </x:c>
      <x:c r="E45" s="40" t="n">
        <x:f>IF('迁盟总表'!Q142="","",'迁盟总表'!Q142)</x:f>
        <x:v>9325902160</x:v>
      </x:c>
      <x:c r="F45" s="40" t="n">
        <x:f>IF('迁盟总表'!R142="","",'迁盟总表'!R142)</x:f>
        <x:v>77078572</x:v>
      </x:c>
      <x:c r="G45" s="40" t="n">
        <x:f>IF('迁盟总表'!S142="","",'迁盟总表'!S142)</x:f>
        <x:v>256898425</x:v>
      </x:c>
      <x:c r="H45" s="37" t="n">
        <x:f>IF('迁盟总表'!H142="","",'迁盟总表'!H142)</x:f>
        <x:v>27.3</x:v>
      </x:c>
      <x:c r="I45" s="37" t="n">
        <x:f>IF('迁盟总表'!I142="","",'迁盟总表'!I142)</x:f>
        <x:v>26.7</x:v>
      </x:c>
      <x:c r="J45" s="40" t="n">
        <x:f>IF('迁盟总表'!J142="","",'迁盟总表'!J142)</x:f>
        <x:v>622</x:v>
      </x:c>
      <x:c r="K45" s="40" t="n">
        <x:f>IF('迁盟总表'!K142="","",'迁盟总表'!K142)</x:f>
        <x:v>723</x:v>
      </x:c>
      <x:c r="L45" s="40" t="n">
        <x:f>IF('迁盟总表'!L142="","",'迁盟总表'!L142)</x:f>
        <x:v>621</x:v>
      </x:c>
      <x:c r="M45" s="40" t="n">
        <x:f>IF('迁盟总表'!M142="","",'迁盟总表'!M142)</x:f>
        <x:v>503</x:v>
      </x:c>
      <x:c r="N45" s="40" t="n">
        <x:f>IF('迁盟总表'!N142="","",'迁盟总表'!N142)</x:f>
        <x:v>624</x:v>
      </x:c>
      <x:c r="O45" s="40" t="n">
        <x:f>IF('迁盟总表'!O142="","",'迁盟总表'!O142)</x:f>
        <x:v>626</x:v>
      </x:c>
      <x:c r="P45" s="40" t="n">
        <x:f>IF('迁盟总表'!P142="","",'迁盟总表'!P142)</x:f>
        <x:v>3719</x:v>
      </x:c>
      <x:c r="Q45" s="43" t="n">
        <x:f>IF('迁盟总表'!X142="","",'迁盟总表'!X142)</x:f>
        <x:v>72.5</x:v>
      </x:c>
      <x:c r="R45" s="27" t="n">
        <x:f>IF('迁盟总表'!Y142="","",'迁盟总表'!Y142)</x:f>
        <x:v>152</x:v>
      </x:c>
      <x:c r="S45" s="55" t="str">
        <x:f>IF('迁盟总表'!Z142="","",'迁盟总表'!Z142)</x:f>
        <x:v>保持当前盟，减少迁移成本</x:v>
      </x:c>
    </x:row>
    <x:row r="46" ht="20" customHeight="1">
      <x:c r="A46" s="26" t="str">
        <x:f>IF('迁盟总表'!B143="","",'迁盟总表'!B143)</x:f>
        <x:v>零陵上将军邢道荣</x:v>
      </x:c>
      <x:c r="B46" s="27" t="str">
        <x:f>IF('迁盟总表'!C143="","",'迁盟总表'!C143)</x:f>
        <x:v>花晨</x:v>
      </x:c>
      <x:c r="C46" s="61" t="str">
        <x:f>IF('迁盟总表'!D143="","",'迁盟总表'!D143)</x:f>
        <x:v>花晨</x:v>
      </x:c>
      <x:c r="D46" s="27" t="str">
        <x:f>IF('迁盟总表'!E143="","",'迁盟总表'!E143)</x:f>
        <x:v>留盟</x:v>
      </x:c>
      <x:c r="E46" s="40" t="n">
        <x:f>IF('迁盟总表'!Q143="","",'迁盟总表'!Q143)</x:f>
        <x:v>1694511650</x:v>
      </x:c>
      <x:c r="F46" s="40" t="n">
        <x:f>IF('迁盟总表'!R143="","",'迁盟总表'!R143)</x:f>
        <x:v>79480502</x:v>
      </x:c>
      <x:c r="G46" s="40" t="n">
        <x:f>IF('迁盟总表'!S143="","",'迁盟总表'!S143)</x:f>
        <x:v>282445985</x:v>
      </x:c>
      <x:c r="H46" s="37" t="str">
        <x:f>IF('迁盟总表'!H143="","",'迁盟总表'!H143)</x:f>
      </x:c>
      <x:c r="I46" s="37" t="str">
        <x:f>IF('迁盟总表'!I143="","",'迁盟总表'!I143)</x:f>
      </x:c>
      <x:c r="J46" s="40" t="str">
        <x:f>IF('迁盟总表'!J143="","",'迁盟总表'!J143)</x:f>
      </x:c>
      <x:c r="K46" s="40" t="str">
        <x:f>IF('迁盟总表'!K143="","",'迁盟总表'!K143)</x:f>
      </x:c>
      <x:c r="L46" s="40" t="str">
        <x:f>IF('迁盟总表'!L143="","",'迁盟总表'!L143)</x:f>
      </x:c>
      <x:c r="M46" s="40" t="str">
        <x:f>IF('迁盟总表'!M143="","",'迁盟总表'!M143)</x:f>
      </x:c>
      <x:c r="N46" s="40" t="str">
        <x:f>IF('迁盟总表'!N143="","",'迁盟总表'!N143)</x:f>
      </x:c>
      <x:c r="O46" s="40" t="str">
        <x:f>IF('迁盟总表'!O143="","",'迁盟总表'!O143)</x:f>
      </x:c>
      <x:c r="P46" s="40" t="str">
        <x:f>IF('迁盟总表'!P143="","",'迁盟总表'!P143)</x:f>
      </x:c>
      <x:c r="Q46" s="43" t="n">
        <x:f>IF('迁盟总表'!X143="","",'迁盟总表'!X143)</x:f>
        <x:v>72.4</x:v>
      </x:c>
      <x:c r="R46" s="27" t="n">
        <x:f>IF('迁盟总表'!Y143="","",'迁盟总表'!Y143)</x:f>
        <x:v>154</x:v>
      </x:c>
      <x:c r="S46" s="55" t="str">
        <x:f>IF('迁盟总表'!Z143="","",'迁盟总表'!Z143)</x:f>
        <x:v>保持当前盟，减少迁移成本</x:v>
      </x:c>
    </x:row>
    <x:row r="47" ht="20" customHeight="1">
      <x:c r="A47" s="26" t="str">
        <x:f>IF('迁盟总表'!B144="","",'迁盟总表'!B144)</x:f>
        <x:v>军临天下</x:v>
      </x:c>
      <x:c r="B47" s="27" t="str">
        <x:f>IF('迁盟总表'!C144="","",'迁盟总表'!C144)</x:f>
        <x:v>花晨</x:v>
      </x:c>
      <x:c r="C47" s="61" t="str">
        <x:f>IF('迁盟总表'!D144="","",'迁盟总表'!D144)</x:f>
        <x:v>花晨</x:v>
      </x:c>
      <x:c r="D47" s="27" t="str">
        <x:f>IF('迁盟总表'!E144="","",'迁盟总表'!E144)</x:f>
        <x:v>留盟</x:v>
      </x:c>
      <x:c r="E47" s="40" t="n">
        <x:f>IF('迁盟总表'!Q144="","",'迁盟总表'!Q144)</x:f>
        <x:v>4690492794</x:v>
      </x:c>
      <x:c r="F47" s="40" t="n">
        <x:f>IF('迁盟总表'!R144="","",'迁盟总表'!R144)</x:f>
        <x:v>81142724</x:v>
      </x:c>
      <x:c r="G47" s="40" t="n">
        <x:f>IF('迁盟总表'!S144="","",'迁盟总表'!S144)</x:f>
        <x:v>231820739</x:v>
      </x:c>
      <x:c r="H47" s="37" t="n">
        <x:f>IF('迁盟总表'!H144="","",'迁盟总表'!H144)</x:f>
        <x:v>28.3</x:v>
      </x:c>
      <x:c r="I47" s="37" t="n">
        <x:f>IF('迁盟总表'!I144="","",'迁盟总表'!I144)</x:f>
        <x:v>28.3</x:v>
      </x:c>
      <x:c r="J47" s="40" t="n">
        <x:f>IF('迁盟总表'!J144="","",'迁盟总表'!J144)</x:f>
        <x:v>701</x:v>
      </x:c>
      <x:c r="K47" s="40" t="n">
        <x:f>IF('迁盟总表'!K144="","",'迁盟总表'!K144)</x:f>
        <x:v>777</x:v>
      </x:c>
      <x:c r="L47" s="40" t="n">
        <x:f>IF('迁盟总表'!L144="","",'迁盟总表'!L144)</x:f>
        <x:v>704</x:v>
      </x:c>
      <x:c r="M47" s="40" t="n">
        <x:f>IF('迁盟总表'!M144="","",'迁盟总表'!M144)</x:f>
        <x:v>562</x:v>
      </x:c>
      <x:c r="N47" s="40" t="n">
        <x:f>IF('迁盟总表'!N144="","",'迁盟总表'!N144)</x:f>
        <x:v>722</x:v>
      </x:c>
      <x:c r="O47" s="40" t="n">
        <x:f>IF('迁盟总表'!O144="","",'迁盟总表'!O144)</x:f>
        <x:v>723</x:v>
      </x:c>
      <x:c r="P47" s="40" t="n">
        <x:f>IF('迁盟总表'!P144="","",'迁盟总表'!P144)</x:f>
        <x:v>4189</x:v>
      </x:c>
      <x:c r="Q47" s="43" t="n">
        <x:f>IF('迁盟总表'!X144="","",'迁盟总表'!X144)</x:f>
        <x:v>72.4</x:v>
      </x:c>
      <x:c r="R47" s="27" t="n">
        <x:f>IF('迁盟总表'!Y144="","",'迁盟总表'!Y144)</x:f>
        <x:v>154</x:v>
      </x:c>
      <x:c r="S47" s="55" t="str">
        <x:f>IF('迁盟总表'!Z144="","",'迁盟总表'!Z144)</x:f>
        <x:v>保持当前盟，减少迁移成本</x:v>
      </x:c>
    </x:row>
    <x:row r="48" ht="20" customHeight="1">
      <x:c r="A48" s="26" t="str">
        <x:f>IF('迁盟总表'!B145="","",'迁盟总表'!B145)</x:f>
        <x:v>囤囤鼠</x:v>
      </x:c>
      <x:c r="B48" s="27" t="str">
        <x:f>IF('迁盟总表'!C145="","",'迁盟总表'!C145)</x:f>
        <x:v>花晨</x:v>
      </x:c>
      <x:c r="C48" s="61" t="str">
        <x:f>IF('迁盟总表'!D145="","",'迁盟总表'!D145)</x:f>
        <x:v>花晨</x:v>
      </x:c>
      <x:c r="D48" s="27" t="str">
        <x:f>IF('迁盟总表'!E145="","",'迁盟总表'!E145)</x:f>
        <x:v>留盟</x:v>
      </x:c>
      <x:c r="E48" s="40" t="n">
        <x:f>IF('迁盟总表'!Q145="","",'迁盟总表'!Q145)</x:f>
        <x:v>1785560642</x:v>
      </x:c>
      <x:c r="F48" s="40" t="n">
        <x:f>IF('迁盟总表'!R145="","",'迁盟总表'!R145)</x:f>
        <x:v>83118170</x:v>
      </x:c>
      <x:c r="G48" s="40" t="n">
        <x:f>IF('迁盟总表'!S145="","",'迁盟总表'!S145)</x:f>
        <x:v>268108489</x:v>
      </x:c>
      <x:c r="H48" s="37" t="n">
        <x:f>IF('迁盟总表'!H145="","",'迁盟总表'!H145)</x:f>
        <x:v>25.9</x:v>
      </x:c>
      <x:c r="I48" s="37" t="n">
        <x:f>IF('迁盟总表'!I145="","",'迁盟总表'!I145)</x:f>
        <x:v>25.9</x:v>
      </x:c>
      <x:c r="J48" s="40" t="n">
        <x:f>IF('迁盟总表'!J145="","",'迁盟总表'!J145)</x:f>
        <x:v>718</x:v>
      </x:c>
      <x:c r="K48" s="40" t="n">
        <x:f>IF('迁盟总表'!K145="","",'迁盟总表'!K145)</x:f>
        <x:v>725</x:v>
      </x:c>
      <x:c r="L48" s="40" t="n">
        <x:f>IF('迁盟总表'!L145="","",'迁盟总表'!L145)</x:f>
        <x:v>585</x:v>
      </x:c>
      <x:c r="M48" s="40" t="n">
        <x:f>IF('迁盟总表'!M145="","",'迁盟总表'!M145)</x:f>
        <x:v>400</x:v>
      </x:c>
      <x:c r="N48" s="40" t="n">
        <x:f>IF('迁盟总表'!N145="","",'迁盟总表'!N145)</x:f>
        <x:v>815</x:v>
      </x:c>
      <x:c r="O48" s="40" t="n">
        <x:f>IF('迁盟总表'!O145="","",'迁盟总表'!O145)</x:f>
        <x:v>917</x:v>
      </x:c>
      <x:c r="P48" s="40" t="n">
        <x:f>IF('迁盟总表'!P145="","",'迁盟总表'!P145)</x:f>
        <x:v>4160</x:v>
      </x:c>
      <x:c r="Q48" s="43" t="n">
        <x:f>IF('迁盟总表'!X145="","",'迁盟总表'!X145)</x:f>
        <x:v>72.3</x:v>
      </x:c>
      <x:c r="R48" s="27" t="n">
        <x:f>IF('迁盟总表'!Y145="","",'迁盟总表'!Y145)</x:f>
        <x:v>156</x:v>
      </x:c>
      <x:c r="S48" s="55" t="str">
        <x:f>IF('迁盟总表'!Z145="","",'迁盟总表'!Z145)</x:f>
        <x:v>保持当前盟，减少迁移成本</x:v>
      </x:c>
    </x:row>
    <x:row r="49" ht="20" customHeight="1">
      <x:c r="A49" s="26" t="str">
        <x:f>IF('迁盟总表'!B146="","",'迁盟总表'!B146)</x:f>
        <x:v>元气少女郭德纲</x:v>
      </x:c>
      <x:c r="B49" s="27" t="str">
        <x:f>IF('迁盟总表'!C146="","",'迁盟总表'!C146)</x:f>
        <x:v>花晨</x:v>
      </x:c>
      <x:c r="C49" s="61" t="str">
        <x:f>IF('迁盟总表'!D146="","",'迁盟总表'!D146)</x:f>
        <x:v>花晨</x:v>
      </x:c>
      <x:c r="D49" s="27" t="str">
        <x:f>IF('迁盟总表'!E146="","",'迁盟总表'!E146)</x:f>
        <x:v>留盟</x:v>
      </x:c>
      <x:c r="E49" s="40" t="n">
        <x:f>IF('迁盟总表'!Q146="","",'迁盟总表'!Q146)</x:f>
        <x:v>3173592628</x:v>
      </x:c>
      <x:c r="F49" s="40" t="n">
        <x:f>IF('迁盟总表'!R146="","",'迁盟总表'!R146)</x:f>
        <x:v>82096356</x:v>
      </x:c>
      <x:c r="G49" s="40" t="n">
        <x:f>IF('迁盟总表'!S146="","",'迁盟总表'!S146)</x:f>
        <x:v>255083575</x:v>
      </x:c>
      <x:c r="H49" s="37" t="n">
        <x:f>IF('迁盟总表'!H146="","",'迁盟总表'!H146)</x:f>
        <x:v>26.5</x:v>
      </x:c>
      <x:c r="I49" s="37" t="n">
        <x:f>IF('迁盟总表'!I146="","",'迁盟总表'!I146)</x:f>
        <x:v>26.5</x:v>
      </x:c>
      <x:c r="J49" s="40" t="n">
        <x:f>IF('迁盟总表'!J146="","",'迁盟总表'!J146)</x:f>
        <x:v>721</x:v>
      </x:c>
      <x:c r="K49" s="40" t="n">
        <x:f>IF('迁盟总表'!K146="","",'迁盟总表'!K146)</x:f>
        <x:v>755</x:v>
      </x:c>
      <x:c r="L49" s="40" t="n">
        <x:f>IF('迁盟总表'!L146="","",'迁盟总表'!L146)</x:f>
        <x:v>641</x:v>
      </x:c>
      <x:c r="M49" s="40" t="n">
        <x:f>IF('迁盟总表'!M146="","",'迁盟总表'!M146)</x:f>
        <x:v>434</x:v>
      </x:c>
      <x:c r="N49" s="40" t="n">
        <x:f>IF('迁盟总表'!N146="","",'迁盟总表'!N146)</x:f>
        <x:v>676</x:v>
      </x:c>
      <x:c r="O49" s="40" t="n">
        <x:f>IF('迁盟总表'!O146="","",'迁盟总表'!O146)</x:f>
        <x:v>685</x:v>
      </x:c>
      <x:c r="P49" s="40" t="n">
        <x:f>IF('迁盟总表'!P146="","",'迁盟总表'!P146)</x:f>
        <x:v>3912</x:v>
      </x:c>
      <x:c r="Q49" s="43" t="n">
        <x:f>IF('迁盟总表'!X146="","",'迁盟总表'!X146)</x:f>
        <x:v>72.2</x:v>
      </x:c>
      <x:c r="R49" s="27" t="n">
        <x:f>IF('迁盟总表'!Y146="","",'迁盟总表'!Y146)</x:f>
        <x:v>158</x:v>
      </x:c>
      <x:c r="S49" s="55" t="str">
        <x:f>IF('迁盟总表'!Z146="","",'迁盟总表'!Z146)</x:f>
        <x:v>保持当前盟，减少迁移成本</x:v>
      </x:c>
    </x:row>
    <x:row r="50" ht="20" customHeight="1">
      <x:c r="A50" s="26" t="str">
        <x:f>IF('迁盟总表'!B147="","",'迁盟总表'!B147)</x:f>
        <x:v>星河拿铁</x:v>
      </x:c>
      <x:c r="B50" s="27" t="str">
        <x:f>IF('迁盟总表'!C147="","",'迁盟总表'!C147)</x:f>
        <x:v>花晨</x:v>
      </x:c>
      <x:c r="C50" s="61" t="str">
        <x:f>IF('迁盟总表'!D147="","",'迁盟总表'!D147)</x:f>
        <x:v>花晨</x:v>
      </x:c>
      <x:c r="D50" s="27" t="str">
        <x:f>IF('迁盟总表'!E147="","",'迁盟总表'!E147)</x:f>
        <x:v>留盟</x:v>
      </x:c>
      <x:c r="E50" s="40" t="n">
        <x:f>IF('迁盟总表'!Q147="","",'迁盟总表'!Q147)</x:f>
        <x:v>4448736660</x:v>
      </x:c>
      <x:c r="F50" s="40" t="n">
        <x:f>IF('迁盟总表'!R147="","",'迁盟总表'!R147)</x:f>
        <x:v>78279472</x:v>
      </x:c>
      <x:c r="G50" s="40" t="n">
        <x:f>IF('迁盟总表'!S147="","",'迁盟总表'!S147)</x:f>
        <x:v>284649852</x:v>
      </x:c>
      <x:c r="H50" s="37" t="n">
        <x:f>IF('迁盟总表'!H147="","",'迁盟总表'!H147)</x:f>
        <x:v>25.3</x:v>
      </x:c>
      <x:c r="I50" s="37" t="n">
        <x:f>IF('迁盟总表'!I147="","",'迁盟总表'!I147)</x:f>
        <x:v>23.7</x:v>
      </x:c>
      <x:c r="J50" s="40" t="n">
        <x:f>IF('迁盟总表'!J147="","",'迁盟总表'!J147)</x:f>
        <x:v>608</x:v>
      </x:c>
      <x:c r="K50" s="40" t="n">
        <x:f>IF('迁盟总表'!K147="","",'迁盟总表'!K147)</x:f>
        <x:v>728</x:v>
      </x:c>
      <x:c r="L50" s="40" t="n">
        <x:f>IF('迁盟总表'!L147="","",'迁盟总表'!L147)</x:f>
        <x:v>578</x:v>
      </x:c>
      <x:c r="M50" s="40" t="n">
        <x:f>IF('迁盟总表'!M147="","",'迁盟总表'!M147)</x:f>
        <x:v>436</x:v>
      </x:c>
      <x:c r="N50" s="40" t="n">
        <x:f>IF('迁盟总表'!N147="","",'迁盟总表'!N147)</x:f>
        <x:v>672</x:v>
      </x:c>
      <x:c r="O50" s="40" t="n">
        <x:f>IF('迁盟总表'!O147="","",'迁盟总表'!O147)</x:f>
        <x:v>584</x:v>
      </x:c>
      <x:c r="P50" s="40" t="n">
        <x:f>IF('迁盟总表'!P147="","",'迁盟总表'!P147)</x:f>
        <x:v>3606</x:v>
      </x:c>
      <x:c r="Q50" s="43" t="n">
        <x:f>IF('迁盟总表'!X147="","",'迁盟总表'!X147)</x:f>
        <x:v>72.2</x:v>
      </x:c>
      <x:c r="R50" s="27" t="n">
        <x:f>IF('迁盟总表'!Y147="","",'迁盟总表'!Y147)</x:f>
        <x:v>158</x:v>
      </x:c>
      <x:c r="S50" s="55" t="str">
        <x:f>IF('迁盟总表'!Z147="","",'迁盟总表'!Z147)</x:f>
        <x:v>保持当前盟，减少迁移成本</x:v>
      </x:c>
    </x:row>
    <x:row r="51" ht="20" customHeight="1">
      <x:c r="A51" s="26" t="str">
        <x:f>IF('迁盟总表'!B148="","",'迁盟总表'!B148)</x:f>
        <x:v>小七小时候</x:v>
      </x:c>
      <x:c r="B51" s="27" t="str">
        <x:f>IF('迁盟总表'!C148="","",'迁盟总表'!C148)</x:f>
        <x:v>花晨</x:v>
      </x:c>
      <x:c r="C51" s="61" t="str">
        <x:f>IF('迁盟总表'!D148="","",'迁盟总表'!D148)</x:f>
        <x:v>花晨</x:v>
      </x:c>
      <x:c r="D51" s="27" t="str">
        <x:f>IF('迁盟总表'!E148="","",'迁盟总表'!E148)</x:f>
        <x:v>留盟</x:v>
      </x:c>
      <x:c r="E51" s="40" t="n">
        <x:f>IF('迁盟总表'!Q148="","",'迁盟总表'!Q148)</x:f>
        <x:v>2829058862</x:v>
      </x:c>
      <x:c r="F51" s="40" t="n">
        <x:f>IF('迁盟总表'!R148="","",'迁盟总表'!R148)</x:f>
        <x:v>82912019</x:v>
      </x:c>
      <x:c r="G51" s="40" t="n">
        <x:f>IF('迁盟总表'!S148="","",'迁盟总表'!S148)</x:f>
        <x:v>249511701</x:v>
      </x:c>
      <x:c r="H51" s="37" t="n">
        <x:f>IF('迁盟总表'!H148="","",'迁盟总表'!H148)</x:f>
        <x:v>25.6</x:v>
      </x:c>
      <x:c r="I51" s="37" t="n">
        <x:f>IF('迁盟总表'!I148="","",'迁盟总表'!I148)</x:f>
        <x:v>23.7</x:v>
      </x:c>
      <x:c r="J51" s="40" t="n">
        <x:f>IF('迁盟总表'!J148="","",'迁盟总表'!J148)</x:f>
        <x:v>681</x:v>
      </x:c>
      <x:c r="K51" s="40" t="n">
        <x:f>IF('迁盟总表'!K148="","",'迁盟总表'!K148)</x:f>
        <x:v>780</x:v>
      </x:c>
      <x:c r="L51" s="40" t="n">
        <x:f>IF('迁盟总表'!L148="","",'迁盟总表'!L148)</x:f>
        <x:v>593</x:v>
      </x:c>
      <x:c r="M51" s="40" t="n">
        <x:f>IF('迁盟总表'!M148="","",'迁盟总表'!M148)</x:f>
        <x:v>507</x:v>
      </x:c>
      <x:c r="N51" s="40" t="n">
        <x:f>IF('迁盟总表'!N148="","",'迁盟总表'!N148)</x:f>
        <x:v>685</x:v>
      </x:c>
      <x:c r="O51" s="40" t="n">
        <x:f>IF('迁盟总表'!O148="","",'迁盟总表'!O148)</x:f>
        <x:v>710</x:v>
      </x:c>
      <x:c r="P51" s="40" t="n">
        <x:f>IF('迁盟总表'!P148="","",'迁盟总表'!P148)</x:f>
        <x:v>3956</x:v>
      </x:c>
      <x:c r="Q51" s="43" t="n">
        <x:f>IF('迁盟总表'!X148="","",'迁盟总表'!X148)</x:f>
        <x:v>72.1</x:v>
      </x:c>
      <x:c r="R51" s="27" t="n">
        <x:f>IF('迁盟总表'!Y148="","",'迁盟总表'!Y148)</x:f>
        <x:v>162</x:v>
      </x:c>
      <x:c r="S51" s="55" t="str">
        <x:f>IF('迁盟总表'!Z148="","",'迁盟总表'!Z148)</x:f>
        <x:v>保持当前盟，减少迁移成本</x:v>
      </x:c>
    </x:row>
    <x:row r="52" ht="20" customHeight="1">
      <x:c r="A52" s="26" t="str">
        <x:f>IF('迁盟总表'!B149="","",'迁盟总表'!B149)</x:f>
        <x:v>星际玩偶</x:v>
      </x:c>
      <x:c r="B52" s="27" t="str">
        <x:f>IF('迁盟总表'!C149="","",'迁盟总表'!C149)</x:f>
        <x:v>花晨</x:v>
      </x:c>
      <x:c r="C52" s="61" t="str">
        <x:f>IF('迁盟总表'!D149="","",'迁盟总表'!D149)</x:f>
        <x:v>花晨</x:v>
      </x:c>
      <x:c r="D52" s="27" t="str">
        <x:f>IF('迁盟总表'!E149="","",'迁盟总表'!E149)</x:f>
        <x:v>留盟</x:v>
      </x:c>
      <x:c r="E52" s="40" t="n">
        <x:f>IF('迁盟总表'!Q149="","",'迁盟总表'!Q149)</x:f>
        <x:v>1628560696</x:v>
      </x:c>
      <x:c r="F52" s="40" t="n">
        <x:f>IF('迁盟总表'!R149="","",'迁盟总表'!R149)</x:f>
        <x:v>85462040</x:v>
      </x:c>
      <x:c r="G52" s="40" t="n">
        <x:f>IF('迁盟总表'!S149="","",'迁盟总表'!S149)</x:f>
        <x:v>248743469</x:v>
      </x:c>
      <x:c r="H52" s="37" t="n">
        <x:f>IF('迁盟总表'!H149="","",'迁盟总表'!H149)</x:f>
        <x:v>26.7</x:v>
      </x:c>
      <x:c r="I52" s="37" t="n">
        <x:f>IF('迁盟总表'!I149="","",'迁盟总表'!I149)</x:f>
        <x:v>26.7</x:v>
      </x:c>
      <x:c r="J52" s="40" t="n">
        <x:f>IF('迁盟总表'!J149="","",'迁盟总表'!J149)</x:f>
        <x:v>700</x:v>
      </x:c>
      <x:c r="K52" s="40" t="n">
        <x:f>IF('迁盟总表'!K149="","",'迁盟总表'!K149)</x:f>
        <x:v>940</x:v>
      </x:c>
      <x:c r="L52" s="40" t="n">
        <x:f>IF('迁盟总表'!L149="","",'迁盟总表'!L149)</x:f>
        <x:v>600</x:v>
      </x:c>
      <x:c r="M52" s="40" t="n">
        <x:f>IF('迁盟总表'!M149="","",'迁盟总表'!M149)</x:f>
        <x:v>460</x:v>
      </x:c>
      <x:c r="N52" s="40" t="n">
        <x:f>IF('迁盟总表'!N149="","",'迁盟总表'!N149)</x:f>
        <x:v>690</x:v>
      </x:c>
      <x:c r="O52" s="40" t="n">
        <x:f>IF('迁盟总表'!O149="","",'迁盟总表'!O149)</x:f>
        <x:v>700</x:v>
      </x:c>
      <x:c r="P52" s="40" t="n">
        <x:f>IF('迁盟总表'!P149="","",'迁盟总表'!P149)</x:f>
        <x:v>4090</x:v>
      </x:c>
      <x:c r="Q52" s="43" t="n">
        <x:f>IF('迁盟总表'!X149="","",'迁盟总表'!X149)</x:f>
        <x:v>72</x:v>
      </x:c>
      <x:c r="R52" s="27" t="n">
        <x:f>IF('迁盟总表'!Y149="","",'迁盟总表'!Y149)</x:f>
        <x:v>164</x:v>
      </x:c>
      <x:c r="S52" s="55" t="str">
        <x:f>IF('迁盟总表'!Z149="","",'迁盟总表'!Z149)</x:f>
        <x:v>保持当前盟，减少迁移成本</x:v>
      </x:c>
    </x:row>
    <x:row r="53" ht="20" customHeight="1">
      <x:c r="A53" s="26" t="str">
        <x:f>IF('迁盟总表'!B150="","",'迁盟总表'!B150)</x:f>
        <x:v>用毒蛇的毒毒毒蛇</x:v>
      </x:c>
      <x:c r="B53" s="27" t="str">
        <x:f>IF('迁盟总表'!C150="","",'迁盟总表'!C150)</x:f>
        <x:v>花晨</x:v>
      </x:c>
      <x:c r="C53" s="61" t="str">
        <x:f>IF('迁盟总表'!D150="","",'迁盟总表'!D150)</x:f>
        <x:v>花晨</x:v>
      </x:c>
      <x:c r="D53" s="27" t="str">
        <x:f>IF('迁盟总表'!E150="","",'迁盟总表'!E150)</x:f>
        <x:v>留盟</x:v>
      </x:c>
      <x:c r="E53" s="40" t="n">
        <x:f>IF('迁盟总表'!Q150="","",'迁盟总表'!Q150)</x:f>
        <x:v>5581284560</x:v>
      </x:c>
      <x:c r="F53" s="40" t="n">
        <x:f>IF('迁盟总表'!R150="","",'迁盟总表'!R150)</x:f>
        <x:v>80335521</x:v>
      </x:c>
      <x:c r="G53" s="40" t="n">
        <x:f>IF('迁盟总表'!S150="","",'迁盟总表'!S150)</x:f>
        <x:v>231898505</x:v>
      </x:c>
      <x:c r="H53" s="37" t="n">
        <x:f>IF('迁盟总表'!H150="","",'迁盟总表'!H150)</x:f>
        <x:v>23.8</x:v>
      </x:c>
      <x:c r="I53" s="37" t="n">
        <x:f>IF('迁盟总表'!I150="","",'迁盟总表'!I150)</x:f>
        <x:v>22.4</x:v>
      </x:c>
      <x:c r="J53" s="40" t="n">
        <x:f>IF('迁盟总表'!J150="","",'迁盟总表'!J150)</x:f>
        <x:v>656</x:v>
      </x:c>
      <x:c r="K53" s="40" t="n">
        <x:f>IF('迁盟总表'!K150="","",'迁盟总表'!K150)</x:f>
        <x:v>956</x:v>
      </x:c>
      <x:c r="L53" s="40" t="n">
        <x:f>IF('迁盟总表'!L150="","",'迁盟总表'!L150)</x:f>
        <x:v>524</x:v>
      </x:c>
      <x:c r="M53" s="40" t="n">
        <x:f>IF('迁盟总表'!M150="","",'迁盟总表'!M150)</x:f>
        <x:v>483</x:v>
      </x:c>
      <x:c r="N53" s="40" t="n">
        <x:f>IF('迁盟总表'!N150="","",'迁盟总表'!N150)</x:f>
        <x:v>600</x:v>
      </x:c>
      <x:c r="O53" s="40" t="n">
        <x:f>IF('迁盟总表'!O150="","",'迁盟总表'!O150)</x:f>
        <x:v>612</x:v>
      </x:c>
      <x:c r="P53" s="40" t="n">
        <x:f>IF('迁盟总表'!P150="","",'迁盟总表'!P150)</x:f>
        <x:v>3831</x:v>
      </x:c>
      <x:c r="Q53" s="43" t="n">
        <x:f>IF('迁盟总表'!X150="","",'迁盟总表'!X150)</x:f>
        <x:v>71.9</x:v>
      </x:c>
      <x:c r="R53" s="27" t="n">
        <x:f>IF('迁盟总表'!Y150="","",'迁盟总表'!Y150)</x:f>
        <x:v>168</x:v>
      </x:c>
      <x:c r="S53" s="55" t="str">
        <x:f>IF('迁盟总表'!Z150="","",'迁盟总表'!Z150)</x:f>
        <x:v>保持当前盟，减少迁移成本</x:v>
      </x:c>
    </x:row>
    <x:row r="54" ht="20" customHeight="1">
      <x:c r="A54" s="26" t="str">
        <x:f>IF('迁盟总表'!B151="","",'迁盟总表'!B151)</x:f>
        <x:v>十二楼</x:v>
      </x:c>
      <x:c r="B54" s="27" t="str">
        <x:f>IF('迁盟总表'!C151="","",'迁盟总表'!C151)</x:f>
        <x:v>花晨</x:v>
      </x:c>
      <x:c r="C54" s="61" t="str">
        <x:f>IF('迁盟总表'!D151="","",'迁盟总表'!D151)</x:f>
        <x:v>花晨</x:v>
      </x:c>
      <x:c r="D54" s="27" t="str">
        <x:f>IF('迁盟总表'!E151="","",'迁盟总表'!E151)</x:f>
        <x:v>留盟</x:v>
      </x:c>
      <x:c r="E54" s="40" t="n">
        <x:f>IF('迁盟总表'!Q151="","",'迁盟总表'!Q151)</x:f>
        <x:v>4139948126</x:v>
      </x:c>
      <x:c r="F54" s="40" t="n">
        <x:f>IF('迁盟总表'!R151="","",'迁盟总表'!R151)</x:f>
        <x:v>78426029</x:v>
      </x:c>
      <x:c r="G54" s="40" t="n">
        <x:f>IF('迁盟总表'!S151="","",'迁盟总表'!S151)</x:f>
        <x:v>232478997</x:v>
      </x:c>
      <x:c r="H54" s="37" t="n">
        <x:f>IF('迁盟总表'!H151="","",'迁盟总表'!H151)</x:f>
        <x:v>28.4</x:v>
      </x:c>
      <x:c r="I54" s="37" t="n">
        <x:f>IF('迁盟总表'!I151="","",'迁盟总表'!I151)</x:f>
        <x:v>26.2</x:v>
      </x:c>
      <x:c r="J54" s="40" t="n">
        <x:f>IF('迁盟总表'!J151="","",'迁盟总表'!J151)</x:f>
        <x:v>798</x:v>
      </x:c>
      <x:c r="K54" s="40" t="n">
        <x:f>IF('迁盟总表'!K151="","",'迁盟总表'!K151)</x:f>
        <x:v>840</x:v>
      </x:c>
      <x:c r="L54" s="40" t="n">
        <x:f>IF('迁盟总表'!L151="","",'迁盟总表'!L151)</x:f>
        <x:v>582</x:v>
      </x:c>
      <x:c r="M54" s="40" t="n">
        <x:f>IF('迁盟总表'!M151="","",'迁盟总表'!M151)</x:f>
        <x:v>562</x:v>
      </x:c>
      <x:c r="N54" s="40" t="n">
        <x:f>IF('迁盟总表'!N151="","",'迁盟总表'!N151)</x:f>
        <x:v>749</x:v>
      </x:c>
      <x:c r="O54" s="40" t="n">
        <x:f>IF('迁盟总表'!O151="","",'迁盟总表'!O151)</x:f>
        <x:v>787</x:v>
      </x:c>
      <x:c r="P54" s="40" t="n">
        <x:f>IF('迁盟总表'!P151="","",'迁盟总表'!P151)</x:f>
        <x:v>4318</x:v>
      </x:c>
      <x:c r="Q54" s="43" t="n">
        <x:f>IF('迁盟总表'!X151="","",'迁盟总表'!X151)</x:f>
        <x:v>71.7</x:v>
      </x:c>
      <x:c r="R54" s="27" t="n">
        <x:f>IF('迁盟总表'!Y151="","",'迁盟总表'!Y151)</x:f>
        <x:v>172</x:v>
      </x:c>
      <x:c r="S54" s="55" t="str">
        <x:f>IF('迁盟总表'!Z151="","",'迁盟总表'!Z151)</x:f>
        <x:v>保持当前盟，减少迁移成本</x:v>
      </x:c>
    </x:row>
    <x:row r="55" ht="20" customHeight="1">
      <x:c r="A55" s="26" t="str">
        <x:f>IF('迁盟总表'!B152="","",'迁盟总表'!B152)</x:f>
        <x:v>完不利罗</x:v>
      </x:c>
      <x:c r="B55" s="27" t="str">
        <x:f>IF('迁盟总表'!C152="","",'迁盟总表'!C152)</x:f>
        <x:v>花晨</x:v>
      </x:c>
      <x:c r="C55" s="61" t="str">
        <x:f>IF('迁盟总表'!D152="","",'迁盟总表'!D152)</x:f>
        <x:v>花晨</x:v>
      </x:c>
      <x:c r="D55" s="27" t="str">
        <x:f>IF('迁盟总表'!E152="","",'迁盟总表'!E152)</x:f>
        <x:v>留盟</x:v>
      </x:c>
      <x:c r="E55" s="40" t="n">
        <x:f>IF('迁盟总表'!Q152="","",'迁盟总表'!Q152)</x:f>
        <x:v>4259163524</x:v>
      </x:c>
      <x:c r="F55" s="40" t="n">
        <x:f>IF('迁盟总表'!R152="","",'迁盟总表'!R152)</x:f>
        <x:v>79767720</x:v>
      </x:c>
      <x:c r="G55" s="40" t="n">
        <x:f>IF('迁盟总表'!S152="","",'迁盟总表'!S152)</x:f>
        <x:v>199020385</x:v>
      </x:c>
      <x:c r="H55" s="37" t="str">
        <x:f>IF('迁盟总表'!H152="","",'迁盟总表'!H152)</x:f>
      </x:c>
      <x:c r="I55" s="37" t="str">
        <x:f>IF('迁盟总表'!I152="","",'迁盟总表'!I152)</x:f>
      </x:c>
      <x:c r="J55" s="40" t="str">
        <x:f>IF('迁盟总表'!J152="","",'迁盟总表'!J152)</x:f>
      </x:c>
      <x:c r="K55" s="40" t="str">
        <x:f>IF('迁盟总表'!K152="","",'迁盟总表'!K152)</x:f>
      </x:c>
      <x:c r="L55" s="40" t="str">
        <x:f>IF('迁盟总表'!L152="","",'迁盟总表'!L152)</x:f>
      </x:c>
      <x:c r="M55" s="40" t="str">
        <x:f>IF('迁盟总表'!M152="","",'迁盟总表'!M152)</x:f>
      </x:c>
      <x:c r="N55" s="40" t="str">
        <x:f>IF('迁盟总表'!N152="","",'迁盟总表'!N152)</x:f>
      </x:c>
      <x:c r="O55" s="40" t="str">
        <x:f>IF('迁盟总表'!O152="","",'迁盟总表'!O152)</x:f>
      </x:c>
      <x:c r="P55" s="40" t="str">
        <x:f>IF('迁盟总表'!P152="","",'迁盟总表'!P152)</x:f>
      </x:c>
      <x:c r="Q55" s="43" t="n">
        <x:f>IF('迁盟总表'!X152="","",'迁盟总表'!X152)</x:f>
        <x:v>71.5</x:v>
      </x:c>
      <x:c r="R55" s="27" t="n">
        <x:f>IF('迁盟总表'!Y152="","",'迁盟总表'!Y152)</x:f>
        <x:v>177</x:v>
      </x:c>
      <x:c r="S55" s="55" t="str">
        <x:f>IF('迁盟总表'!Z152="","",'迁盟总表'!Z152)</x:f>
        <x:v>保持当前盟，减少迁移成本</x:v>
      </x:c>
    </x:row>
    <x:row r="56" ht="20" customHeight="1">
      <x:c r="A56" s="26" t="str">
        <x:f>IF('迁盟总表'!B153="","",'迁盟总表'!B153)</x:f>
        <x:v>九号公馆</x:v>
      </x:c>
      <x:c r="B56" s="27" t="str">
        <x:f>IF('迁盟总表'!C153="","",'迁盟总表'!C153)</x:f>
        <x:v>花晨</x:v>
      </x:c>
      <x:c r="C56" s="61" t="str">
        <x:f>IF('迁盟总表'!D153="","",'迁盟总表'!D153)</x:f>
        <x:v>花晨</x:v>
      </x:c>
      <x:c r="D56" s="27" t="str">
        <x:f>IF('迁盟总表'!E153="","",'迁盟总表'!E153)</x:f>
        <x:v>留盟</x:v>
      </x:c>
      <x:c r="E56" s="40" t="n">
        <x:f>IF('迁盟总表'!Q153="","",'迁盟总表'!Q153)</x:f>
        <x:v>2711495711</x:v>
      </x:c>
      <x:c r="F56" s="40" t="n">
        <x:f>IF('迁盟总表'!R153="","",'迁盟总表'!R153)</x:f>
        <x:v>80362205</x:v>
      </x:c>
      <x:c r="G56" s="40" t="n">
        <x:f>IF('迁盟总表'!S153="","",'迁盟总表'!S153)</x:f>
        <x:v>223337425</x:v>
      </x:c>
      <x:c r="H56" s="37" t="n">
        <x:f>IF('迁盟总表'!H153="","",'迁盟总表'!H153)</x:f>
        <x:v>28.8</x:v>
      </x:c>
      <x:c r="I56" s="37" t="n">
        <x:f>IF('迁盟总表'!I153="","",'迁盟总表'!I153)</x:f>
        <x:v>28.8</x:v>
      </x:c>
      <x:c r="J56" s="40" t="n">
        <x:f>IF('迁盟总表'!J153="","",'迁盟总表'!J153)</x:f>
        <x:v>758</x:v>
      </x:c>
      <x:c r="K56" s="40" t="n">
        <x:f>IF('迁盟总表'!K153="","",'迁盟总表'!K153)</x:f>
        <x:v>892</x:v>
      </x:c>
      <x:c r="L56" s="40" t="n">
        <x:f>IF('迁盟总表'!L153="","",'迁盟总表'!L153)</x:f>
        <x:v>670</x:v>
      </x:c>
      <x:c r="M56" s="40" t="n">
        <x:f>IF('迁盟总表'!M153="","",'迁盟总表'!M153)</x:f>
        <x:v>543</x:v>
      </x:c>
      <x:c r="N56" s="40" t="n">
        <x:f>IF('迁盟总表'!N153="","",'迁盟总表'!N153)</x:f>
        <x:v>776</x:v>
      </x:c>
      <x:c r="O56" s="40" t="n">
        <x:f>IF('迁盟总表'!O153="","",'迁盟总表'!O153)</x:f>
        <x:v>827</x:v>
      </x:c>
      <x:c r="P56" s="40" t="n">
        <x:f>IF('迁盟总表'!P153="","",'迁盟总表'!P153)</x:f>
        <x:v>4466</x:v>
      </x:c>
      <x:c r="Q56" s="43" t="n">
        <x:f>IF('迁盟总表'!X153="","",'迁盟总表'!X153)</x:f>
        <x:v>71.4</x:v>
      </x:c>
      <x:c r="R56" s="27" t="n">
        <x:f>IF('迁盟总表'!Y153="","",'迁盟总表'!Y153)</x:f>
        <x:v>179</x:v>
      </x:c>
      <x:c r="S56" s="55" t="str">
        <x:f>IF('迁盟总表'!Z153="","",'迁盟总表'!Z153)</x:f>
        <x:v>保持当前盟，减少迁移成本</x:v>
      </x:c>
    </x:row>
    <x:row r="57" ht="20" customHeight="1">
      <x:c r="A57" s="26" t="str">
        <x:f>IF('迁盟总表'!B154="","",'迁盟总表'!B154)</x:f>
        <x:v>灬人间散尽温柔灬</x:v>
      </x:c>
      <x:c r="B57" s="27" t="str">
        <x:f>IF('迁盟总表'!C154="","",'迁盟总表'!C154)</x:f>
        <x:v>花晨</x:v>
      </x:c>
      <x:c r="C57" s="61" t="str">
        <x:f>IF('迁盟总表'!D154="","",'迁盟总表'!D154)</x:f>
        <x:v>花晨</x:v>
      </x:c>
      <x:c r="D57" s="27" t="str">
        <x:f>IF('迁盟总表'!E154="","",'迁盟总表'!E154)</x:f>
        <x:v>留盟</x:v>
      </x:c>
      <x:c r="E57" s="40" t="n">
        <x:f>IF('迁盟总表'!Q154="","",'迁盟总表'!Q154)</x:f>
        <x:v>3134467598</x:v>
      </x:c>
      <x:c r="F57" s="40" t="n">
        <x:f>IF('迁盟总表'!R154="","",'迁盟总表'!R154)</x:f>
        <x:v>72581530</x:v>
      </x:c>
      <x:c r="G57" s="40" t="n">
        <x:f>IF('迁盟总表'!S154="","",'迁盟总表'!S154)</x:f>
        <x:v>276515424</x:v>
      </x:c>
      <x:c r="H57" s="37" t="str">
        <x:f>IF('迁盟总表'!H154="","",'迁盟总表'!H154)</x:f>
      </x:c>
      <x:c r="I57" s="37" t="str">
        <x:f>IF('迁盟总表'!I154="","",'迁盟总表'!I154)</x:f>
      </x:c>
      <x:c r="J57" s="40" t="str">
        <x:f>IF('迁盟总表'!J154="","",'迁盟总表'!J154)</x:f>
      </x:c>
      <x:c r="K57" s="40" t="str">
        <x:f>IF('迁盟总表'!K154="","",'迁盟总表'!K154)</x:f>
      </x:c>
      <x:c r="L57" s="40" t="str">
        <x:f>IF('迁盟总表'!L154="","",'迁盟总表'!L154)</x:f>
      </x:c>
      <x:c r="M57" s="40" t="str">
        <x:f>IF('迁盟总表'!M154="","",'迁盟总表'!M154)</x:f>
      </x:c>
      <x:c r="N57" s="40" t="str">
        <x:f>IF('迁盟总表'!N154="","",'迁盟总表'!N154)</x:f>
      </x:c>
      <x:c r="O57" s="40" t="str">
        <x:f>IF('迁盟总表'!O154="","",'迁盟总表'!O154)</x:f>
      </x:c>
      <x:c r="P57" s="40" t="str">
        <x:f>IF('迁盟总表'!P154="","",'迁盟总表'!P154)</x:f>
      </x:c>
      <x:c r="Q57" s="43" t="n">
        <x:f>IF('迁盟总表'!X154="","",'迁盟总表'!X154)</x:f>
        <x:v>71.4</x:v>
      </x:c>
      <x:c r="R57" s="27" t="n">
        <x:f>IF('迁盟总表'!Y154="","",'迁盟总表'!Y154)</x:f>
        <x:v>179</x:v>
      </x:c>
      <x:c r="S57" s="55" t="str">
        <x:f>IF('迁盟总表'!Z154="","",'迁盟总表'!Z154)</x:f>
        <x:v>保持当前盟，减少迁移成本</x:v>
      </x:c>
    </x:row>
    <x:row r="58" ht="20" customHeight="1">
      <x:c r="A58" s="26" t="str">
        <x:f>IF('迁盟总表'!B155="","",'迁盟总表'!B155)</x:f>
        <x:v>穆兰大腿</x:v>
      </x:c>
      <x:c r="B58" s="27" t="str">
        <x:f>IF('迁盟总表'!C155="","",'迁盟总表'!C155)</x:f>
        <x:v>花晨</x:v>
      </x:c>
      <x:c r="C58" s="61" t="str">
        <x:f>IF('迁盟总表'!D155="","",'迁盟总表'!D155)</x:f>
        <x:v>花晨</x:v>
      </x:c>
      <x:c r="D58" s="27" t="str">
        <x:f>IF('迁盟总表'!E155="","",'迁盟总表'!E155)</x:f>
        <x:v>留盟</x:v>
      </x:c>
      <x:c r="E58" s="40" t="n">
        <x:f>IF('迁盟总表'!Q155="","",'迁盟总表'!Q155)</x:f>
        <x:v>352520520</x:v>
      </x:c>
      <x:c r="F58" s="40" t="n">
        <x:f>IF('迁盟总表'!R155="","",'迁盟总表'!R155)</x:f>
        <x:v>90504133</x:v>
      </x:c>
      <x:c r="G58" s="40" t="n">
        <x:f>IF('迁盟总表'!S155="","",'迁盟总表'!S155)</x:f>
        <x:v>276141233</x:v>
      </x:c>
      <x:c r="H58" s="37" t="n">
        <x:f>IF('迁盟总表'!H155="","",'迁盟总表'!H155)</x:f>
        <x:v>25.4</x:v>
      </x:c>
      <x:c r="I58" s="37" t="n">
        <x:f>IF('迁盟总表'!I155="","",'迁盟总表'!I155)</x:f>
        <x:v>25.4</x:v>
      </x:c>
      <x:c r="J58" s="40" t="n">
        <x:f>IF('迁盟总表'!J155="","",'迁盟总表'!J155)</x:f>
        <x:v>622</x:v>
      </x:c>
      <x:c r="K58" s="40" t="n">
        <x:f>IF('迁盟总表'!K155="","",'迁盟总表'!K155)</x:f>
        <x:v>786</x:v>
      </x:c>
      <x:c r="L58" s="40" t="n">
        <x:f>IF('迁盟总表'!L155="","",'迁盟总表'!L155)</x:f>
        <x:v>590</x:v>
      </x:c>
      <x:c r="M58" s="40" t="n">
        <x:f>IF('迁盟总表'!M155="","",'迁盟总表'!M155)</x:f>
        <x:v>475</x:v>
      </x:c>
      <x:c r="N58" s="40" t="n">
        <x:f>IF('迁盟总表'!N155="","",'迁盟总表'!N155)</x:f>
        <x:v>701</x:v>
      </x:c>
      <x:c r="O58" s="40" t="n">
        <x:f>IF('迁盟总表'!O155="","",'迁盟总表'!O155)</x:f>
        <x:v>762</x:v>
      </x:c>
      <x:c r="P58" s="40" t="n">
        <x:f>IF('迁盟总表'!P155="","",'迁盟总表'!P155)</x:f>
        <x:v>3936</x:v>
      </x:c>
      <x:c r="Q58" s="43" t="n">
        <x:f>IF('迁盟总表'!X155="","",'迁盟总表'!X155)</x:f>
        <x:v>71.3</x:v>
      </x:c>
      <x:c r="R58" s="27" t="n">
        <x:f>IF('迁盟总表'!Y155="","",'迁盟总表'!Y155)</x:f>
        <x:v>181</x:v>
      </x:c>
      <x:c r="S58" s="55" t="str">
        <x:f>IF('迁盟总表'!Z155="","",'迁盟总表'!Z155)</x:f>
        <x:v>保持当前盟，减少迁移成本</x:v>
      </x:c>
    </x:row>
    <x:row r="59" ht="20" customHeight="1">
      <x:c r="A59" s="26" t="str">
        <x:f>IF('迁盟总表'!B156="","",'迁盟总表'!B156)</x:f>
        <x:v>雄霸天下123</x:v>
      </x:c>
      <x:c r="B59" s="27" t="str">
        <x:f>IF('迁盟总表'!C156="","",'迁盟总表'!C156)</x:f>
        <x:v>花晨</x:v>
      </x:c>
      <x:c r="C59" s="61" t="str">
        <x:f>IF('迁盟总表'!D156="","",'迁盟总表'!D156)</x:f>
        <x:v>花晨</x:v>
      </x:c>
      <x:c r="D59" s="27" t="str">
        <x:f>IF('迁盟总表'!E156="","",'迁盟总表'!E156)</x:f>
        <x:v>留盟</x:v>
      </x:c>
      <x:c r="E59" s="40" t="n">
        <x:f>IF('迁盟总表'!Q156="","",'迁盟总表'!Q156)</x:f>
        <x:v>5631519006</x:v>
      </x:c>
      <x:c r="F59" s="40" t="n">
        <x:f>IF('迁盟总表'!R156="","",'迁盟总表'!R156)</x:f>
        <x:v>78783218</x:v>
      </x:c>
      <x:c r="G59" s="40" t="n">
        <x:f>IF('迁盟总表'!S156="","",'迁盟总表'!S156)</x:f>
        <x:v>235290025</x:v>
      </x:c>
      <x:c r="H59" s="37" t="n">
        <x:f>IF('迁盟总表'!H156="","",'迁盟总表'!H156)</x:f>
        <x:v>21.6</x:v>
      </x:c>
      <x:c r="I59" s="37" t="n">
        <x:f>IF('迁盟总表'!I156="","",'迁盟总表'!I156)</x:f>
        <x:v>21.6</x:v>
      </x:c>
      <x:c r="J59" s="40" t="n">
        <x:f>IF('迁盟总表'!J156="","",'迁盟总表'!J156)</x:f>
        <x:v>656</x:v>
      </x:c>
      <x:c r="K59" s="40" t="n">
        <x:f>IF('迁盟总表'!K156="","",'迁盟总表'!K156)</x:f>
        <x:v>744</x:v>
      </x:c>
      <x:c r="L59" s="40" t="n">
        <x:f>IF('迁盟总表'!L156="","",'迁盟总表'!L156)</x:f>
        <x:v>536</x:v>
      </x:c>
      <x:c r="M59" s="40" t="n">
        <x:f>IF('迁盟总表'!M156="","",'迁盟总表'!M156)</x:f>
        <x:v>412</x:v>
      </x:c>
      <x:c r="N59" s="40" t="n">
        <x:f>IF('迁盟总表'!N156="","",'迁盟总表'!N156)</x:f>
        <x:v>663</x:v>
      </x:c>
      <x:c r="O59" s="40" t="n">
        <x:f>IF('迁盟总表'!O156="","",'迁盟总表'!O156)</x:f>
        <x:v>591</x:v>
      </x:c>
      <x:c r="P59" s="40" t="n">
        <x:f>IF('迁盟总表'!P156="","",'迁盟总表'!P156)</x:f>
        <x:v>3602</x:v>
      </x:c>
      <x:c r="Q59" s="43" t="n">
        <x:f>IF('迁盟总表'!X156="","",'迁盟总表'!X156)</x:f>
        <x:v>71.3</x:v>
      </x:c>
      <x:c r="R59" s="27" t="n">
        <x:f>IF('迁盟总表'!Y156="","",'迁盟总表'!Y156)</x:f>
        <x:v>181</x:v>
      </x:c>
      <x:c r="S59" s="55" t="str">
        <x:f>IF('迁盟总表'!Z156="","",'迁盟总表'!Z156)</x:f>
        <x:v>保持当前盟，减少迁移成本</x:v>
      </x:c>
    </x:row>
    <x:row r="60" ht="20" customHeight="1">
      <x:c r="A60" s="26" t="str">
        <x:f>IF('迁盟总表'!B157="","",'迁盟总表'!B157)</x:f>
        <x:v>月下煮奶茶</x:v>
      </x:c>
      <x:c r="B60" s="27" t="str">
        <x:f>IF('迁盟总表'!C157="","",'迁盟总表'!C157)</x:f>
        <x:v>花晨</x:v>
      </x:c>
      <x:c r="C60" s="61" t="str">
        <x:f>IF('迁盟总表'!D157="","",'迁盟总表'!D157)</x:f>
        <x:v>花晨</x:v>
      </x:c>
      <x:c r="D60" s="27" t="str">
        <x:f>IF('迁盟总表'!E157="","",'迁盟总表'!E157)</x:f>
        <x:v>留盟</x:v>
      </x:c>
      <x:c r="E60" s="40" t="n">
        <x:f>IF('迁盟总表'!Q157="","",'迁盟总表'!Q157)</x:f>
        <x:v>1613963484</x:v>
      </x:c>
      <x:c r="F60" s="40" t="n">
        <x:f>IF('迁盟总表'!R157="","",'迁盟总表'!R157)</x:f>
        <x:v>78338657</x:v>
      </x:c>
      <x:c r="G60" s="40" t="n">
        <x:f>IF('迁盟总表'!S157="","",'迁盟总表'!S157)</x:f>
        <x:v>258882287</x:v>
      </x:c>
      <x:c r="H60" s="37" t="str">
        <x:f>IF('迁盟总表'!H157="","",'迁盟总表'!H157)</x:f>
      </x:c>
      <x:c r="I60" s="37" t="str">
        <x:f>IF('迁盟总表'!I157="","",'迁盟总表'!I157)</x:f>
      </x:c>
      <x:c r="J60" s="40" t="str">
        <x:f>IF('迁盟总表'!J157="","",'迁盟总表'!J157)</x:f>
      </x:c>
      <x:c r="K60" s="40" t="str">
        <x:f>IF('迁盟总表'!K157="","",'迁盟总表'!K157)</x:f>
      </x:c>
      <x:c r="L60" s="40" t="str">
        <x:f>IF('迁盟总表'!L157="","",'迁盟总表'!L157)</x:f>
      </x:c>
      <x:c r="M60" s="40" t="str">
        <x:f>IF('迁盟总表'!M157="","",'迁盟总表'!M157)</x:f>
      </x:c>
      <x:c r="N60" s="40" t="str">
        <x:f>IF('迁盟总表'!N157="","",'迁盟总表'!N157)</x:f>
      </x:c>
      <x:c r="O60" s="40" t="str">
        <x:f>IF('迁盟总表'!O157="","",'迁盟总表'!O157)</x:f>
      </x:c>
      <x:c r="P60" s="40" t="str">
        <x:f>IF('迁盟总表'!P157="","",'迁盟总表'!P157)</x:f>
      </x:c>
      <x:c r="Q60" s="43" t="n">
        <x:f>IF('迁盟总表'!X157="","",'迁盟总表'!X157)</x:f>
        <x:v>71.2</x:v>
      </x:c>
      <x:c r="R60" s="27" t="n">
        <x:f>IF('迁盟总表'!Y157="","",'迁盟总表'!Y157)</x:f>
        <x:v>184</x:v>
      </x:c>
      <x:c r="S60" s="55" t="str">
        <x:f>IF('迁盟总表'!Z157="","",'迁盟总表'!Z157)</x:f>
        <x:v>保持当前盟，减少迁移成本</x:v>
      </x:c>
    </x:row>
    <x:row r="61" ht="20" customHeight="1">
      <x:c r="A61" s="26" t="str">
        <x:f>IF('迁盟总表'!B158="","",'迁盟总表'!B158)</x:f>
        <x:v>长发渡温柔</x:v>
      </x:c>
      <x:c r="B61" s="27" t="str">
        <x:f>IF('迁盟总表'!C158="","",'迁盟总表'!C158)</x:f>
        <x:v>花晨</x:v>
      </x:c>
      <x:c r="C61" s="61" t="str">
        <x:f>IF('迁盟总表'!D158="","",'迁盟总表'!D158)</x:f>
        <x:v>花晨</x:v>
      </x:c>
      <x:c r="D61" s="27" t="str">
        <x:f>IF('迁盟总表'!E158="","",'迁盟总表'!E158)</x:f>
        <x:v>留盟</x:v>
      </x:c>
      <x:c r="E61" s="40" t="n">
        <x:f>IF('迁盟总表'!Q158="","",'迁盟总表'!Q158)</x:f>
        <x:v>3086787766</x:v>
      </x:c>
      <x:c r="F61" s="40" t="n">
        <x:f>IF('迁盟总表'!R158="","",'迁盟总表'!R158)</x:f>
        <x:v>74913041</x:v>
      </x:c>
      <x:c r="G61" s="40" t="n">
        <x:f>IF('迁盟总表'!S158="","",'迁盟总表'!S158)</x:f>
        <x:v>250727577</x:v>
      </x:c>
      <x:c r="H61" s="37" t="str">
        <x:f>IF('迁盟总表'!H158="","",'迁盟总表'!H158)</x:f>
      </x:c>
      <x:c r="I61" s="37" t="str">
        <x:f>IF('迁盟总表'!I158="","",'迁盟总表'!I158)</x:f>
      </x:c>
      <x:c r="J61" s="40" t="str">
        <x:f>IF('迁盟总表'!J158="","",'迁盟总表'!J158)</x:f>
      </x:c>
      <x:c r="K61" s="40" t="str">
        <x:f>IF('迁盟总表'!K158="","",'迁盟总表'!K158)</x:f>
      </x:c>
      <x:c r="L61" s="40" t="str">
        <x:f>IF('迁盟总表'!L158="","",'迁盟总表'!L158)</x:f>
      </x:c>
      <x:c r="M61" s="40" t="str">
        <x:f>IF('迁盟总表'!M158="","",'迁盟总表'!M158)</x:f>
      </x:c>
      <x:c r="N61" s="40" t="str">
        <x:f>IF('迁盟总表'!N158="","",'迁盟总表'!N158)</x:f>
      </x:c>
      <x:c r="O61" s="40" t="str">
        <x:f>IF('迁盟总表'!O158="","",'迁盟总表'!O158)</x:f>
      </x:c>
      <x:c r="P61" s="40" t="str">
        <x:f>IF('迁盟总表'!P158="","",'迁盟总表'!P158)</x:f>
      </x:c>
      <x:c r="Q61" s="43" t="n">
        <x:f>IF('迁盟总表'!X158="","",'迁盟总表'!X158)</x:f>
        <x:v>71.2</x:v>
      </x:c>
      <x:c r="R61" s="27" t="n">
        <x:f>IF('迁盟总表'!Y158="","",'迁盟总表'!Y158)</x:f>
        <x:v>184</x:v>
      </x:c>
      <x:c r="S61" s="55" t="str">
        <x:f>IF('迁盟总表'!Z158="","",'迁盟总表'!Z158)</x:f>
        <x:v>保持当前盟，减少迁移成本</x:v>
      </x:c>
    </x:row>
    <x:row r="62" ht="20" customHeight="1">
      <x:c r="A62" s="26" t="str">
        <x:f>IF('迁盟总表'!B159="","",'迁盟总表'!B159)</x:f>
        <x:v>小鸡炖小弟</x:v>
      </x:c>
      <x:c r="B62" s="27" t="str">
        <x:f>IF('迁盟总表'!C159="","",'迁盟总表'!C159)</x:f>
        <x:v>花晨</x:v>
      </x:c>
      <x:c r="C62" s="61" t="str">
        <x:f>IF('迁盟总表'!D159="","",'迁盟总表'!D159)</x:f>
        <x:v>花晨</x:v>
      </x:c>
      <x:c r="D62" s="27" t="str">
        <x:f>IF('迁盟总表'!E159="","",'迁盟总表'!E159)</x:f>
        <x:v>留盟</x:v>
      </x:c>
      <x:c r="E62" s="40" t="n">
        <x:f>IF('迁盟总表'!Q159="","",'迁盟总表'!Q159)</x:f>
        <x:v>1758451762</x:v>
      </x:c>
      <x:c r="F62" s="40" t="n">
        <x:f>IF('迁盟总表'!R159="","",'迁盟总表'!R159)</x:f>
        <x:v>75544085</x:v>
      </x:c>
      <x:c r="G62" s="40" t="n">
        <x:f>IF('迁盟总表'!S159="","",'迁盟总表'!S159)</x:f>
        <x:v>270570404</x:v>
      </x:c>
      <x:c r="H62" s="37" t="str">
        <x:f>IF('迁盟总表'!H159="","",'迁盟总表'!H159)</x:f>
      </x:c>
      <x:c r="I62" s="37" t="str">
        <x:f>IF('迁盟总表'!I159="","",'迁盟总表'!I159)</x:f>
      </x:c>
      <x:c r="J62" s="40" t="str">
        <x:f>IF('迁盟总表'!J159="","",'迁盟总表'!J159)</x:f>
      </x:c>
      <x:c r="K62" s="40" t="str">
        <x:f>IF('迁盟总表'!K159="","",'迁盟总表'!K159)</x:f>
      </x:c>
      <x:c r="L62" s="40" t="str">
        <x:f>IF('迁盟总表'!L159="","",'迁盟总表'!L159)</x:f>
      </x:c>
      <x:c r="M62" s="40" t="str">
        <x:f>IF('迁盟总表'!M159="","",'迁盟总表'!M159)</x:f>
      </x:c>
      <x:c r="N62" s="40" t="str">
        <x:f>IF('迁盟总表'!N159="","",'迁盟总表'!N159)</x:f>
      </x:c>
      <x:c r="O62" s="40" t="str">
        <x:f>IF('迁盟总表'!O159="","",'迁盟总表'!O159)</x:f>
      </x:c>
      <x:c r="P62" s="40" t="str">
        <x:f>IF('迁盟总表'!P159="","",'迁盟总表'!P159)</x:f>
      </x:c>
      <x:c r="Q62" s="43" t="n">
        <x:f>IF('迁盟总表'!X159="","",'迁盟总表'!X159)</x:f>
        <x:v>71</x:v>
      </x:c>
      <x:c r="R62" s="27" t="n">
        <x:f>IF('迁盟总表'!Y159="","",'迁盟总表'!Y159)</x:f>
        <x:v>188</x:v>
      </x:c>
      <x:c r="S62" s="55" t="str">
        <x:f>IF('迁盟总表'!Z159="","",'迁盟总表'!Z159)</x:f>
        <x:v>保持当前盟，减少迁移成本</x:v>
      </x:c>
    </x:row>
    <x:row r="63" ht="20" customHeight="1">
      <x:c r="A63" s="26" t="str">
        <x:f>IF('迁盟总表'!B160="","",'迁盟总表'!B160)</x:f>
        <x:v>悦悦的小屋</x:v>
      </x:c>
      <x:c r="B63" s="27" t="str">
        <x:f>IF('迁盟总表'!C160="","",'迁盟总表'!C160)</x:f>
        <x:v>花晨</x:v>
      </x:c>
      <x:c r="C63" s="61" t="str">
        <x:f>IF('迁盟总表'!D160="","",'迁盟总表'!D160)</x:f>
        <x:v>花晨</x:v>
      </x:c>
      <x:c r="D63" s="27" t="str">
        <x:f>IF('迁盟总表'!E160="","",'迁盟总表'!E160)</x:f>
        <x:v>留盟</x:v>
      </x:c>
      <x:c r="E63" s="40" t="n">
        <x:f>IF('迁盟总表'!Q160="","",'迁盟总表'!Q160)</x:f>
        <x:v>3233484160</x:v>
      </x:c>
      <x:c r="F63" s="40" t="n">
        <x:f>IF('迁盟总表'!R160="","",'迁盟总表'!R160)</x:f>
        <x:v>72742997</x:v>
      </x:c>
      <x:c r="G63" s="40" t="n">
        <x:f>IF('迁盟总表'!S160="","",'迁盟总表'!S160)</x:f>
        <x:v>257882850</x:v>
      </x:c>
      <x:c r="H63" s="37" t="str">
        <x:f>IF('迁盟总表'!H160="","",'迁盟总表'!H160)</x:f>
      </x:c>
      <x:c r="I63" s="37" t="str">
        <x:f>IF('迁盟总表'!I160="","",'迁盟总表'!I160)</x:f>
      </x:c>
      <x:c r="J63" s="40" t="str">
        <x:f>IF('迁盟总表'!J160="","",'迁盟总表'!J160)</x:f>
      </x:c>
      <x:c r="K63" s="40" t="str">
        <x:f>IF('迁盟总表'!K160="","",'迁盟总表'!K160)</x:f>
      </x:c>
      <x:c r="L63" s="40" t="str">
        <x:f>IF('迁盟总表'!L160="","",'迁盟总表'!L160)</x:f>
      </x:c>
      <x:c r="M63" s="40" t="str">
        <x:f>IF('迁盟总表'!M160="","",'迁盟总表'!M160)</x:f>
      </x:c>
      <x:c r="N63" s="40" t="str">
        <x:f>IF('迁盟总表'!N160="","",'迁盟总表'!N160)</x:f>
      </x:c>
      <x:c r="O63" s="40" t="str">
        <x:f>IF('迁盟总表'!O160="","",'迁盟总表'!O160)</x:f>
      </x:c>
      <x:c r="P63" s="40" t="str">
        <x:f>IF('迁盟总表'!P160="","",'迁盟总表'!P160)</x:f>
      </x:c>
      <x:c r="Q63" s="43" t="n">
        <x:f>IF('迁盟总表'!X160="","",'迁盟总表'!X160)</x:f>
        <x:v>70.9</x:v>
      </x:c>
      <x:c r="R63" s="27" t="n">
        <x:f>IF('迁盟总表'!Y160="","",'迁盟总表'!Y160)</x:f>
        <x:v>190</x:v>
      </x:c>
      <x:c r="S63" s="55" t="str">
        <x:f>IF('迁盟总表'!Z160="","",'迁盟总表'!Z160)</x:f>
        <x:v>保持当前盟，减少迁移成本</x:v>
      </x:c>
    </x:row>
    <x:row r="64" ht="20" customHeight="1">
      <x:c r="A64" s="26" t="str">
        <x:f>IF('迁盟总表'!B161="","",'迁盟总表'!B161)</x:f>
        <x:v>糊涂小哥哥</x:v>
      </x:c>
      <x:c r="B64" s="27" t="str">
        <x:f>IF('迁盟总表'!C161="","",'迁盟总表'!C161)</x:f>
        <x:v>花晨</x:v>
      </x:c>
      <x:c r="C64" s="61" t="str">
        <x:f>IF('迁盟总表'!D161="","",'迁盟总表'!D161)</x:f>
        <x:v>花晨</x:v>
      </x:c>
      <x:c r="D64" s="27" t="str">
        <x:f>IF('迁盟总表'!E161="","",'迁盟总表'!E161)</x:f>
        <x:v>留盟</x:v>
      </x:c>
      <x:c r="E64" s="40" t="n">
        <x:f>IF('迁盟总表'!Q161="","",'迁盟总表'!Q161)</x:f>
        <x:v>2296640160</x:v>
      </x:c>
      <x:c r="F64" s="40" t="n">
        <x:f>IF('迁盟总表'!R161="","",'迁盟总表'!R161)</x:f>
        <x:v>84119401</x:v>
      </x:c>
      <x:c r="G64" s="40" t="n">
        <x:f>IF('迁盟总表'!S161="","",'迁盟总表'!S161)</x:f>
        <x:v>185965021</x:v>
      </x:c>
      <x:c r="H64" s="37" t="n">
        <x:f>IF('迁盟总表'!H161="","",'迁盟总表'!H161)</x:f>
        <x:v>28.8</x:v>
      </x:c>
      <x:c r="I64" s="37" t="n">
        <x:f>IF('迁盟总表'!I161="","",'迁盟总表'!I161)</x:f>
        <x:v>28.8</x:v>
      </x:c>
      <x:c r="J64" s="40" t="n">
        <x:f>IF('迁盟总表'!J161="","",'迁盟总表'!J161)</x:f>
        <x:v>755</x:v>
      </x:c>
      <x:c r="K64" s="40" t="n">
        <x:f>IF('迁盟总表'!K161="","",'迁盟总表'!K161)</x:f>
        <x:v>887</x:v>
      </x:c>
      <x:c r="L64" s="40" t="n">
        <x:f>IF('迁盟总表'!L161="","",'迁盟总表'!L161)</x:f>
        <x:v>635</x:v>
      </x:c>
      <x:c r="M64" s="40" t="n">
        <x:f>IF('迁盟总表'!M161="","",'迁盟总表'!M161)</x:f>
        <x:v>505</x:v>
      </x:c>
      <x:c r="N64" s="40" t="n">
        <x:f>IF('迁盟总表'!N161="","",'迁盟总表'!N161)</x:f>
        <x:v>709</x:v>
      </x:c>
      <x:c r="O64" s="40" t="n">
        <x:f>IF('迁盟总表'!O161="","",'迁盟总表'!O161)</x:f>
        <x:v>767</x:v>
      </x:c>
      <x:c r="P64" s="40" t="n">
        <x:f>IF('迁盟总表'!P161="","",'迁盟总表'!P161)</x:f>
        <x:v>4258</x:v>
      </x:c>
      <x:c r="Q64" s="43" t="n">
        <x:f>IF('迁盟总表'!X161="","",'迁盟总表'!X161)</x:f>
        <x:v>70.7</x:v>
      </x:c>
      <x:c r="R64" s="27" t="n">
        <x:f>IF('迁盟总表'!Y161="","",'迁盟总表'!Y161)</x:f>
        <x:v>195</x:v>
      </x:c>
      <x:c r="S64" s="55" t="str">
        <x:f>IF('迁盟总表'!Z161="","",'迁盟总表'!Z161)</x:f>
        <x:v>保持当前盟，减少迁移成本</x:v>
      </x:c>
    </x:row>
    <x:row r="65" ht="20" customHeight="1">
      <x:c r="A65" s="26" t="str">
        <x:f>IF('迁盟总表'!B162="","",'迁盟总表'!B162)</x:f>
        <x:v>黎明山川</x:v>
      </x:c>
      <x:c r="B65" s="27" t="str">
        <x:f>IF('迁盟总表'!C162="","",'迁盟总表'!C162)</x:f>
        <x:v>花晨</x:v>
      </x:c>
      <x:c r="C65" s="61" t="str">
        <x:f>IF('迁盟总表'!D162="","",'迁盟总表'!D162)</x:f>
        <x:v>花晨</x:v>
      </x:c>
      <x:c r="D65" s="27" t="str">
        <x:f>IF('迁盟总表'!E162="","",'迁盟总表'!E162)</x:f>
        <x:v>留盟</x:v>
      </x:c>
      <x:c r="E65" s="40" t="n">
        <x:f>IF('迁盟总表'!Q162="","",'迁盟总表'!Q162)</x:f>
        <x:v>1361308088</x:v>
      </x:c>
      <x:c r="F65" s="40" t="n">
        <x:f>IF('迁盟总表'!R162="","",'迁盟总表'!R162)</x:f>
        <x:v>84628414</x:v>
      </x:c>
      <x:c r="G65" s="40" t="n">
        <x:f>IF('迁盟总表'!S162="","",'迁盟总表'!S162)</x:f>
        <x:v>229275806</x:v>
      </x:c>
      <x:c r="H65" s="37" t="n">
        <x:f>IF('迁盟总表'!H162="","",'迁盟总表'!H162)</x:f>
        <x:v>27.8</x:v>
      </x:c>
      <x:c r="I65" s="37" t="n">
        <x:f>IF('迁盟总表'!I162="","",'迁盟总表'!I162)</x:f>
        <x:v>22.5</x:v>
      </x:c>
      <x:c r="J65" s="40" t="n">
        <x:f>IF('迁盟总表'!J162="","",'迁盟总表'!J162)</x:f>
        <x:v>666</x:v>
      </x:c>
      <x:c r="K65" s="40" t="n">
        <x:f>IF('迁盟总表'!K162="","",'迁盟总表'!K162)</x:f>
        <x:v>723</x:v>
      </x:c>
      <x:c r="L65" s="40" t="n">
        <x:f>IF('迁盟总表'!L162="","",'迁盟总表'!L162)</x:f>
        <x:v>634</x:v>
      </x:c>
      <x:c r="M65" s="40" t="n">
        <x:f>IF('迁盟总表'!M162="","",'迁盟总表'!M162)</x:f>
        <x:v>527</x:v>
      </x:c>
      <x:c r="N65" s="40" t="n">
        <x:f>IF('迁盟总表'!N162="","",'迁盟总表'!N162)</x:f>
        <x:v>755</x:v>
      </x:c>
      <x:c r="O65" s="40" t="n">
        <x:f>IF('迁盟总表'!O162="","",'迁盟总表'!O162)</x:f>
        <x:v>586</x:v>
      </x:c>
      <x:c r="P65" s="40" t="n">
        <x:f>IF('迁盟总表'!P162="","",'迁盟总表'!P162)</x:f>
        <x:v>3891</x:v>
      </x:c>
      <x:c r="Q65" s="43" t="n">
        <x:f>IF('迁盟总表'!X162="","",'迁盟总表'!X162)</x:f>
        <x:v>70.6</x:v>
      </x:c>
      <x:c r="R65" s="27" t="n">
        <x:f>IF('迁盟总表'!Y162="","",'迁盟总表'!Y162)</x:f>
        <x:v>197</x:v>
      </x:c>
      <x:c r="S65" s="55" t="str">
        <x:f>IF('迁盟总表'!Z162="","",'迁盟总表'!Z162)</x:f>
        <x:v>保持当前盟，减少迁移成本</x:v>
      </x:c>
    </x:row>
    <x:row r="66" ht="20" customHeight="1">
      <x:c r="A66" s="26" t="str">
        <x:f>IF('迁盟总表'!B163="","",'迁盟总表'!B163)</x:f>
        <x:v>弄啥嘞</x:v>
      </x:c>
      <x:c r="B66" s="27" t="str">
        <x:f>IF('迁盟总表'!C163="","",'迁盟总表'!C163)</x:f>
        <x:v>花晨</x:v>
      </x:c>
      <x:c r="C66" s="61" t="str">
        <x:f>IF('迁盟总表'!D163="","",'迁盟总表'!D163)</x:f>
        <x:v>花晨</x:v>
      </x:c>
      <x:c r="D66" s="27" t="str">
        <x:f>IF('迁盟总表'!E163="","",'迁盟总表'!E163)</x:f>
        <x:v>留盟</x:v>
      </x:c>
      <x:c r="E66" s="40" t="n">
        <x:f>IF('迁盟总表'!Q163="","",'迁盟总表'!Q163)</x:f>
        <x:v>3316891686</x:v>
      </x:c>
      <x:c r="F66" s="40" t="n">
        <x:f>IF('迁盟总表'!R163="","",'迁盟总表'!R163)</x:f>
        <x:v>76448310</x:v>
      </x:c>
      <x:c r="G66" s="40" t="n">
        <x:f>IF('迁盟总表'!S163="","",'迁盟总表'!S163)</x:f>
        <x:v>215299940</x:v>
      </x:c>
      <x:c r="H66" s="37" t="str">
        <x:f>IF('迁盟总表'!H163="","",'迁盟总表'!H163)</x:f>
      </x:c>
      <x:c r="I66" s="37" t="str">
        <x:f>IF('迁盟总表'!I163="","",'迁盟总表'!I163)</x:f>
      </x:c>
      <x:c r="J66" s="40" t="str">
        <x:f>IF('迁盟总表'!J163="","",'迁盟总表'!J163)</x:f>
      </x:c>
      <x:c r="K66" s="40" t="str">
        <x:f>IF('迁盟总表'!K163="","",'迁盟总表'!K163)</x:f>
      </x:c>
      <x:c r="L66" s="40" t="str">
        <x:f>IF('迁盟总表'!L163="","",'迁盟总表'!L163)</x:f>
      </x:c>
      <x:c r="M66" s="40" t="str">
        <x:f>IF('迁盟总表'!M163="","",'迁盟总表'!M163)</x:f>
      </x:c>
      <x:c r="N66" s="40" t="str">
        <x:f>IF('迁盟总表'!N163="","",'迁盟总表'!N163)</x:f>
      </x:c>
      <x:c r="O66" s="40" t="str">
        <x:f>IF('迁盟总表'!O163="","",'迁盟总表'!O163)</x:f>
      </x:c>
      <x:c r="P66" s="40" t="str">
        <x:f>IF('迁盟总表'!P163="","",'迁盟总表'!P163)</x:f>
      </x:c>
      <x:c r="Q66" s="43" t="n">
        <x:f>IF('迁盟总表'!X163="","",'迁盟总表'!X163)</x:f>
        <x:v>70.6</x:v>
      </x:c>
      <x:c r="R66" s="27" t="n">
        <x:f>IF('迁盟总表'!Y163="","",'迁盟总表'!Y163)</x:f>
        <x:v>197</x:v>
      </x:c>
      <x:c r="S66" s="55" t="str">
        <x:f>IF('迁盟总表'!Z163="","",'迁盟总表'!Z163)</x:f>
        <x:v>保持当前盟，减少迁移成本</x:v>
      </x:c>
    </x:row>
    <x:row r="67" ht="20" customHeight="1">
      <x:c r="A67" s="26" t="str">
        <x:f>IF('迁盟总表'!B164="","",'迁盟总表'!B164)</x:f>
        <x:v>赵小浪</x:v>
      </x:c>
      <x:c r="B67" s="27" t="str">
        <x:f>IF('迁盟总表'!C164="","",'迁盟总表'!C164)</x:f>
        <x:v>花晨</x:v>
      </x:c>
      <x:c r="C67" s="61" t="str">
        <x:f>IF('迁盟总表'!D164="","",'迁盟总表'!D164)</x:f>
        <x:v>花晨</x:v>
      </x:c>
      <x:c r="D67" s="27" t="str">
        <x:f>IF('迁盟总表'!E164="","",'迁盟总表'!E164)</x:f>
        <x:v>留盟</x:v>
      </x:c>
      <x:c r="E67" s="40" t="n">
        <x:f>IF('迁盟总表'!Q164="","",'迁盟总表'!Q164)</x:f>
        <x:v>1972678080</x:v>
      </x:c>
      <x:c r="F67" s="40" t="n">
        <x:f>IF('迁盟总表'!R164="","",'迁盟总表'!R164)</x:f>
        <x:v>77394563</x:v>
      </x:c>
      <x:c r="G67" s="40" t="n">
        <x:f>IF('迁盟总表'!S164="","",'迁盟总表'!S164)</x:f>
        <x:v>266541127</x:v>
      </x:c>
      <x:c r="H67" s="37" t="str">
        <x:f>IF('迁盟总表'!H164="","",'迁盟总表'!H164)</x:f>
      </x:c>
      <x:c r="I67" s="37" t="n">
        <x:f>IF('迁盟总表'!I164="","",'迁盟总表'!I164)</x:f>
        <x:v>24.8</x:v>
      </x:c>
      <x:c r="J67" s="40" t="n">
        <x:f>IF('迁盟总表'!J164="","",'迁盟总表'!J164)</x:f>
        <x:v>700</x:v>
      </x:c>
      <x:c r="K67" s="40" t="n">
        <x:f>IF('迁盟总表'!K164="","",'迁盟总表'!K164)</x:f>
        <x:v>801</x:v>
      </x:c>
      <x:c r="L67" s="40" t="n">
        <x:f>IF('迁盟总表'!L164="","",'迁盟总表'!L164)</x:f>
        <x:v>528</x:v>
      </x:c>
      <x:c r="M67" s="40" t="n">
        <x:f>IF('迁盟总表'!M164="","",'迁盟总表'!M164)</x:f>
        <x:v>382</x:v>
      </x:c>
      <x:c r="N67" s="40" t="n">
        <x:f>IF('迁盟总表'!N164="","",'迁盟总表'!N164)</x:f>
        <x:v>746</x:v>
      </x:c>
      <x:c r="O67" s="40" t="n">
        <x:f>IF('迁盟总表'!O164="","",'迁盟总表'!O164)</x:f>
        <x:v>669</x:v>
      </x:c>
      <x:c r="P67" s="40" t="n">
        <x:f>IF('迁盟总表'!P164="","",'迁盟总表'!P164)</x:f>
        <x:v>3826</x:v>
      </x:c>
      <x:c r="Q67" s="43" t="n">
        <x:f>IF('迁盟总表'!X164="","",'迁盟总表'!X164)</x:f>
        <x:v>70.4</x:v>
      </x:c>
      <x:c r="R67" s="27" t="n">
        <x:f>IF('迁盟总表'!Y164="","",'迁盟总表'!Y164)</x:f>
        <x:v>200</x:v>
      </x:c>
      <x:c r="S67" s="55" t="str">
        <x:f>IF('迁盟总表'!Z164="","",'迁盟总表'!Z164)</x:f>
        <x:v>保持当前盟，减少迁移成本</x:v>
      </x:c>
    </x:row>
    <x:row r="68" ht="20" customHeight="1">
      <x:c r="A68" s="26" t="str">
        <x:f>IF('迁盟总表'!B165="","",'迁盟总表'!B165)</x:f>
        <x:v>冷血使者</x:v>
      </x:c>
      <x:c r="B68" s="27" t="str">
        <x:f>IF('迁盟总表'!C165="","",'迁盟总表'!C165)</x:f>
        <x:v>花晨</x:v>
      </x:c>
      <x:c r="C68" s="61" t="str">
        <x:f>IF('迁盟总表'!D165="","",'迁盟总表'!D165)</x:f>
        <x:v>花晨</x:v>
      </x:c>
      <x:c r="D68" s="27" t="str">
        <x:f>IF('迁盟总表'!E165="","",'迁盟总表'!E165)</x:f>
        <x:v>留盟</x:v>
      </x:c>
      <x:c r="E68" s="40" t="n">
        <x:f>IF('迁盟总表'!Q165="","",'迁盟总表'!Q165)</x:f>
        <x:v>2219477946</x:v>
      </x:c>
      <x:c r="F68" s="40" t="n">
        <x:f>IF('迁盟总表'!R165="","",'迁盟总表'!R165)</x:f>
        <x:v>82821688</x:v>
      </x:c>
      <x:c r="G68" s="40" t="n">
        <x:f>IF('迁盟总表'!S165="","",'迁盟总表'!S165)</x:f>
        <x:v>201266731</x:v>
      </x:c>
      <x:c r="H68" s="37" t="n">
        <x:f>IF('迁盟总表'!H165="","",'迁盟总表'!H165)</x:f>
        <x:v>27.7</x:v>
      </x:c>
      <x:c r="I68" s="37" t="n">
        <x:f>IF('迁盟总表'!I165="","",'迁盟总表'!I165)</x:f>
        <x:v>22.5</x:v>
      </x:c>
      <x:c r="J68" s="40" t="n">
        <x:f>IF('迁盟总表'!J165="","",'迁盟总表'!J165)</x:f>
        <x:v>679</x:v>
      </x:c>
      <x:c r="K68" s="40" t="n">
        <x:f>IF('迁盟总表'!K165="","",'迁盟总表'!K165)</x:f>
        <x:v>792</x:v>
      </x:c>
      <x:c r="L68" s="40" t="n">
        <x:f>IF('迁盟总表'!L165="","",'迁盟总表'!L165)</x:f>
        <x:v>596</x:v>
      </x:c>
      <x:c r="M68" s="40" t="n">
        <x:f>IF('迁盟总表'!M165="","",'迁盟总表'!M165)</x:f>
        <x:v>536</x:v>
      </x:c>
      <x:c r="N68" s="40" t="n">
        <x:f>IF('迁盟总表'!N165="","",'迁盟总表'!N165)</x:f>
        <x:v>675</x:v>
      </x:c>
      <x:c r="O68" s="40" t="n">
        <x:f>IF('迁盟总表'!O165="","",'迁盟总表'!O165)</x:f>
        <x:v>673</x:v>
      </x:c>
      <x:c r="P68" s="40" t="n">
        <x:f>IF('迁盟总表'!P165="","",'迁盟总表'!P165)</x:f>
        <x:v>3951</x:v>
      </x:c>
      <x:c r="Q68" s="43" t="n">
        <x:f>IF('迁盟总表'!X165="","",'迁盟总表'!X165)</x:f>
        <x:v>70.3</x:v>
      </x:c>
      <x:c r="R68" s="27" t="n">
        <x:f>IF('迁盟总表'!Y165="","",'迁盟总表'!Y165)</x:f>
        <x:v>202</x:v>
      </x:c>
      <x:c r="S68" s="55" t="str">
        <x:f>IF('迁盟总表'!Z165="","",'迁盟总表'!Z165)</x:f>
        <x:v>保持当前盟，减少迁移成本</x:v>
      </x:c>
    </x:row>
    <x:row r="69" ht="20" customHeight="1">
      <x:c r="A69" s="26" t="str">
        <x:f>IF('迁盟总表'!B166="","",'迁盟总表'!B166)</x:f>
        <x:v>凌云黑起</x:v>
      </x:c>
      <x:c r="B69" s="27" t="str">
        <x:f>IF('迁盟总表'!C166="","",'迁盟总表'!C166)</x:f>
        <x:v>花晨</x:v>
      </x:c>
      <x:c r="C69" s="61" t="str">
        <x:f>IF('迁盟总表'!D166="","",'迁盟总表'!D166)</x:f>
        <x:v>花晨</x:v>
      </x:c>
      <x:c r="D69" s="27" t="str">
        <x:f>IF('迁盟总表'!E166="","",'迁盟总表'!E166)</x:f>
        <x:v>留盟</x:v>
      </x:c>
      <x:c r="E69" s="40" t="n">
        <x:f>IF('迁盟总表'!Q166="","",'迁盟总表'!Q166)</x:f>
        <x:v>2751067841</x:v>
      </x:c>
      <x:c r="F69" s="40" t="n">
        <x:f>IF('迁盟总表'!R166="","",'迁盟总表'!R166)</x:f>
        <x:v>78605327</x:v>
      </x:c>
      <x:c r="G69" s="40" t="n">
        <x:f>IF('迁盟总表'!S166="","",'迁盟总表'!S166)</x:f>
        <x:v>229087783</x:v>
      </x:c>
      <x:c r="H69" s="37" t="n">
        <x:f>IF('迁盟总表'!H166="","",'迁盟总表'!H166)</x:f>
        <x:v>29</x:v>
      </x:c>
      <x:c r="I69" s="37" t="n">
        <x:f>IF('迁盟总表'!I166="","",'迁盟总表'!I166)</x:f>
        <x:v>26</x:v>
      </x:c>
      <x:c r="J69" s="40" t="n">
        <x:f>IF('迁盟总表'!J166="","",'迁盟总表'!J166)</x:f>
        <x:v>706</x:v>
      </x:c>
      <x:c r="K69" s="40" t="n">
        <x:f>IF('迁盟总表'!K166="","",'迁盟总表'!K166)</x:f>
        <x:v>657</x:v>
      </x:c>
      <x:c r="L69" s="40" t="n">
        <x:f>IF('迁盟总表'!L166="","",'迁盟总表'!L166)</x:f>
        <x:v>644</x:v>
      </x:c>
      <x:c r="M69" s="40" t="n">
        <x:f>IF('迁盟总表'!M166="","",'迁盟总表'!M166)</x:f>
        <x:v>578</x:v>
      </x:c>
      <x:c r="N69" s="40" t="n">
        <x:f>IF('迁盟总表'!N166="","",'迁盟总表'!N166)</x:f>
        <x:v>697</x:v>
      </x:c>
      <x:c r="O69" s="40" t="n">
        <x:f>IF('迁盟总表'!O166="","",'迁盟总表'!O166)</x:f>
        <x:v>560</x:v>
      </x:c>
      <x:c r="P69" s="40" t="n">
        <x:f>IF('迁盟总表'!P166="","",'迁盟总表'!P166)</x:f>
        <x:v>3842</x:v>
      </x:c>
      <x:c r="Q69" s="43" t="n">
        <x:f>IF('迁盟总表'!X166="","",'迁盟总表'!X166)</x:f>
        <x:v>70.2</x:v>
      </x:c>
      <x:c r="R69" s="27" t="n">
        <x:f>IF('迁盟总表'!Y166="","",'迁盟总表'!Y166)</x:f>
        <x:v>205</x:v>
      </x:c>
      <x:c r="S69" s="55" t="str">
        <x:f>IF('迁盟总表'!Z166="","",'迁盟总表'!Z166)</x:f>
        <x:v>保持当前盟，减少迁移成本</x:v>
      </x:c>
    </x:row>
    <x:row r="70" ht="20" customHeight="1">
      <x:c r="A70" s="26" t="str">
        <x:f>IF('迁盟总表'!B167="","",'迁盟总表'!B167)</x:f>
        <x:v>矿主大多</x:v>
      </x:c>
      <x:c r="B70" s="27" t="str">
        <x:f>IF('迁盟总表'!C167="","",'迁盟总表'!C167)</x:f>
        <x:v>花晨</x:v>
      </x:c>
      <x:c r="C70" s="61" t="str">
        <x:f>IF('迁盟总表'!D167="","",'迁盟总表'!D167)</x:f>
        <x:v>花晨</x:v>
      </x:c>
      <x:c r="D70" s="27" t="str">
        <x:f>IF('迁盟总表'!E167="","",'迁盟总表'!E167)</x:f>
        <x:v>留盟</x:v>
      </x:c>
      <x:c r="E70" s="40" t="n">
        <x:f>IF('迁盟总表'!Q167="","",'迁盟总表'!Q167)</x:f>
        <x:v>1078935862</x:v>
      </x:c>
      <x:c r="F70" s="40" t="n">
        <x:f>IF('迁盟总表'!R167="","",'迁盟总表'!R167)</x:f>
        <x:v>82288993</x:v>
      </x:c>
      <x:c r="G70" s="40" t="n">
        <x:f>IF('迁盟总表'!S167="","",'迁盟总表'!S167)</x:f>
        <x:v>247657255</x:v>
      </x:c>
      <x:c r="H70" s="37" t="n">
        <x:f>IF('迁盟总表'!H167="","",'迁盟总表'!H167)</x:f>
        <x:v>28</x:v>
      </x:c>
      <x:c r="I70" s="37" t="n">
        <x:f>IF('迁盟总表'!I167="","",'迁盟总表'!I167)</x:f>
        <x:v>22.5</x:v>
      </x:c>
      <x:c r="J70" s="40" t="n">
        <x:f>IF('迁盟总表'!J167="","",'迁盟总表'!J167)</x:f>
        <x:v>663</x:v>
      </x:c>
      <x:c r="K70" s="40" t="n">
        <x:f>IF('迁盟总表'!K167="","",'迁盟总表'!K167)</x:f>
        <x:v>739</x:v>
      </x:c>
      <x:c r="L70" s="40" t="n">
        <x:f>IF('迁盟总表'!L167="","",'迁盟总表'!L167)</x:f>
        <x:v>610</x:v>
      </x:c>
      <x:c r="M70" s="40" t="n">
        <x:f>IF('迁盟总表'!M167="","",'迁盟总表'!M167)</x:f>
        <x:v>498</x:v>
      </x:c>
      <x:c r="N70" s="40" t="n">
        <x:f>IF('迁盟总表'!N167="","",'迁盟总表'!N167)</x:f>
        <x:v>647</x:v>
      </x:c>
      <x:c r="O70" s="40" t="n">
        <x:f>IF('迁盟总表'!O167="","",'迁盟总表'!O167)</x:f>
        <x:v>729</x:v>
      </x:c>
      <x:c r="P70" s="40" t="n">
        <x:f>IF('迁盟总表'!P167="","",'迁盟总表'!P167)</x:f>
        <x:v>3886</x:v>
      </x:c>
      <x:c r="Q70" s="43" t="n">
        <x:f>IF('迁盟总表'!X167="","",'迁盟总表'!X167)</x:f>
        <x:v>70.2</x:v>
      </x:c>
      <x:c r="R70" s="27" t="n">
        <x:f>IF('迁盟总表'!Y167="","",'迁盟总表'!Y167)</x:f>
        <x:v>205</x:v>
      </x:c>
      <x:c r="S70" s="55" t="str">
        <x:f>IF('迁盟总表'!Z167="","",'迁盟总表'!Z167)</x:f>
        <x:v>保持当前盟，减少迁移成本</x:v>
      </x:c>
    </x:row>
    <x:row r="71" ht="20" customHeight="1">
      <x:c r="A71" s="26" t="str">
        <x:f>IF('迁盟总表'!B168="","",'迁盟总表'!B168)</x:f>
        <x:v>算无遗策</x:v>
      </x:c>
      <x:c r="B71" s="27" t="str">
        <x:f>IF('迁盟总表'!C168="","",'迁盟总表'!C168)</x:f>
        <x:v>花晨</x:v>
      </x:c>
      <x:c r="C71" s="61" t="str">
        <x:f>IF('迁盟总表'!D168="","",'迁盟总表'!D168)</x:f>
        <x:v>花晨</x:v>
      </x:c>
      <x:c r="D71" s="27" t="str">
        <x:f>IF('迁盟总表'!E168="","",'迁盟总表'!E168)</x:f>
        <x:v>留盟</x:v>
      </x:c>
      <x:c r="E71" s="40" t="n">
        <x:f>IF('迁盟总表'!Q168="","",'迁盟总表'!Q168)</x:f>
        <x:v>956713394</x:v>
      </x:c>
      <x:c r="F71" s="40" t="n">
        <x:f>IF('迁盟总表'!R168="","",'迁盟总表'!R168)</x:f>
        <x:v>70596464</x:v>
      </x:c>
      <x:c r="G71" s="40" t="n">
        <x:f>IF('迁盟总表'!S168="","",'迁盟总表'!S168)</x:f>
        <x:v>264098211</x:v>
      </x:c>
      <x:c r="H71" s="37" t="str">
        <x:f>IF('迁盟总表'!H168="","",'迁盟总表'!H168)</x:f>
      </x:c>
      <x:c r="I71" s="37" t="str">
        <x:f>IF('迁盟总表'!I168="","",'迁盟总表'!I168)</x:f>
      </x:c>
      <x:c r="J71" s="40" t="str">
        <x:f>IF('迁盟总表'!J168="","",'迁盟总表'!J168)</x:f>
      </x:c>
      <x:c r="K71" s="40" t="str">
        <x:f>IF('迁盟总表'!K168="","",'迁盟总表'!K168)</x:f>
      </x:c>
      <x:c r="L71" s="40" t="str">
        <x:f>IF('迁盟总表'!L168="","",'迁盟总表'!L168)</x:f>
      </x:c>
      <x:c r="M71" s="40" t="str">
        <x:f>IF('迁盟总表'!M168="","",'迁盟总表'!M168)</x:f>
      </x:c>
      <x:c r="N71" s="40" t="str">
        <x:f>IF('迁盟总表'!N168="","",'迁盟总表'!N168)</x:f>
      </x:c>
      <x:c r="O71" s="40" t="str">
        <x:f>IF('迁盟总表'!O168="","",'迁盟总表'!O168)</x:f>
      </x:c>
      <x:c r="P71" s="40" t="str">
        <x:f>IF('迁盟总表'!P168="","",'迁盟总表'!P168)</x:f>
      </x:c>
      <x:c r="Q71" s="43" t="n">
        <x:f>IF('迁盟总表'!X168="","",'迁盟总表'!X168)</x:f>
        <x:v>68.2</x:v>
      </x:c>
      <x:c r="R71" s="27" t="n">
        <x:f>IF('迁盟总表'!Y168="","",'迁盟总表'!Y168)</x:f>
        <x:v>229</x:v>
      </x:c>
      <x:c r="S71" s="55" t="str">
        <x:f>IF('迁盟总表'!Z168="","",'迁盟总表'!Z168)</x:f>
        <x:v>保持当前盟，减少迁移成本</x:v>
      </x:c>
    </x:row>
    <x:row r="72" ht="20" customHeight="1">
      <x:c r="A72" s="26" t="str">
        <x:f>IF('迁盟总表'!B169="","",'迁盟总表'!B169)</x:f>
        <x:v>经常冷冰冰</x:v>
      </x:c>
      <x:c r="B72" s="27" t="str">
        <x:f>IF('迁盟总表'!C169="","",'迁盟总表'!C169)</x:f>
        <x:v>花晨</x:v>
      </x:c>
      <x:c r="C72" s="61" t="str">
        <x:f>IF('迁盟总表'!D169="","",'迁盟总表'!D169)</x:f>
        <x:v>花晨</x:v>
      </x:c>
      <x:c r="D72" s="27" t="str">
        <x:f>IF('迁盟总表'!E169="","",'迁盟总表'!E169)</x:f>
        <x:v>留盟</x:v>
      </x:c>
      <x:c r="E72" s="40" t="n">
        <x:f>IF('迁盟总表'!Q169="","",'迁盟总表'!Q169)</x:f>
        <x:v>309395430</x:v>
      </x:c>
      <x:c r="F72" s="40" t="n">
        <x:f>IF('迁盟总表'!R169="","",'迁盟总表'!R169)</x:f>
        <x:v>79629181</x:v>
      </x:c>
      <x:c r="G72" s="40" t="n">
        <x:f>IF('迁盟总表'!S169="","",'迁盟总表'!S169)</x:f>
        <x:v>248131042</x:v>
      </x:c>
      <x:c r="H72" s="37" t="str">
        <x:f>IF('迁盟总表'!H169="","",'迁盟总表'!H169)</x:f>
      </x:c>
      <x:c r="I72" s="37" t="str">
        <x:f>IF('迁盟总表'!I169="","",'迁盟总表'!I169)</x:f>
      </x:c>
      <x:c r="J72" s="40" t="str">
        <x:f>IF('迁盟总表'!J169="","",'迁盟总表'!J169)</x:f>
      </x:c>
      <x:c r="K72" s="40" t="str">
        <x:f>IF('迁盟总表'!K169="","",'迁盟总表'!K169)</x:f>
      </x:c>
      <x:c r="L72" s="40" t="str">
        <x:f>IF('迁盟总表'!L169="","",'迁盟总表'!L169)</x:f>
      </x:c>
      <x:c r="M72" s="40" t="str">
        <x:f>IF('迁盟总表'!M169="","",'迁盟总表'!M169)</x:f>
      </x:c>
      <x:c r="N72" s="40" t="str">
        <x:f>IF('迁盟总表'!N169="","",'迁盟总表'!N169)</x:f>
      </x:c>
      <x:c r="O72" s="40" t="str">
        <x:f>IF('迁盟总表'!O169="","",'迁盟总表'!O169)</x:f>
      </x:c>
      <x:c r="P72" s="40" t="str">
        <x:f>IF('迁盟总表'!P169="","",'迁盟总表'!P169)</x:f>
      </x:c>
      <x:c r="Q72" s="43" t="n">
        <x:f>IF('迁盟总表'!X169="","",'迁盟总表'!X169)</x:f>
        <x:v>68.1</x:v>
      </x:c>
      <x:c r="R72" s="27" t="n">
        <x:f>IF('迁盟总表'!Y169="","",'迁盟总表'!Y169)</x:f>
        <x:v>233</x:v>
      </x:c>
      <x:c r="S72" s="55" t="str">
        <x:f>IF('迁盟总表'!Z169="","",'迁盟总表'!Z169)</x:f>
        <x:v>保持当前盟，减少迁移成本</x:v>
      </x:c>
    </x:row>
    <x:row r="73" ht="20" customHeight="1">
      <x:c r="A73" s="26" t="str">
        <x:f>IF('迁盟总表'!B170="","",'迁盟总表'!B170)</x:f>
        <x:v>汉武大帝</x:v>
      </x:c>
      <x:c r="B73" s="27" t="str">
        <x:f>IF('迁盟总表'!C170="","",'迁盟总表'!C170)</x:f>
        <x:v>兰亭</x:v>
      </x:c>
      <x:c r="C73" s="61" t="str">
        <x:f>IF('迁盟总表'!D170="","",'迁盟总表'!D170)</x:f>
        <x:v>花晨</x:v>
      </x:c>
      <x:c r="D73" s="27" t="str">
        <x:f>IF('迁盟总表'!E170="","",'迁盟总表'!E170)</x:f>
        <x:v>兰亭→花晨</x:v>
      </x:c>
      <x:c r="E73" s="40" t="n">
        <x:f>IF('迁盟总表'!Q170="","",'迁盟总表'!Q170)</x:f>
        <x:v>3808894782</x:v>
      </x:c>
      <x:c r="F73" s="40" t="n">
        <x:f>IF('迁盟总表'!R170="","",'迁盟总表'!R170)</x:f>
        <x:v>73323262</x:v>
      </x:c>
      <x:c r="G73" s="40" t="n">
        <x:f>IF('迁盟总表'!S170="","",'迁盟总表'!S170)</x:f>
        <x:v>209237788</x:v>
      </x:c>
      <x:c r="H73" s="37" t="n">
        <x:f>IF('迁盟总表'!H170="","",'迁盟总表'!H170)</x:f>
        <x:v>26</x:v>
      </x:c>
      <x:c r="I73" s="37" t="n">
        <x:f>IF('迁盟总表'!I170="","",'迁盟总表'!I170)</x:f>
        <x:v>26</x:v>
      </x:c>
      <x:c r="J73" s="40" t="n">
        <x:f>IF('迁盟总表'!J170="","",'迁盟总表'!J170)</x:f>
        <x:v>629</x:v>
      </x:c>
      <x:c r="K73" s="40" t="n">
        <x:f>IF('迁盟总表'!K170="","",'迁盟总表'!K170)</x:f>
        <x:v>469</x:v>
      </x:c>
      <x:c r="L73" s="40" t="n">
        <x:f>IF('迁盟总表'!L170="","",'迁盟总表'!L170)</x:f>
        <x:v>680</x:v>
      </x:c>
      <x:c r="M73" s="40" t="n">
        <x:f>IF('迁盟总表'!M170="","",'迁盟总表'!M170)</x:f>
        <x:v>382</x:v>
      </x:c>
      <x:c r="N73" s="40" t="n">
        <x:f>IF('迁盟总表'!N170="","",'迁盟总表'!N170)</x:f>
        <x:v>661</x:v>
      </x:c>
      <x:c r="O73" s="40" t="n">
        <x:f>IF('迁盟总表'!O170="","",'迁盟总表'!O170)</x:f>
        <x:v>442</x:v>
      </x:c>
      <x:c r="P73" s="40" t="n">
        <x:f>IF('迁盟总表'!P170="","",'迁盟总表'!P170)</x:f>
        <x:v>3263</x:v>
      </x:c>
      <x:c r="Q73" s="43" t="n">
        <x:f>IF('迁盟总表'!X170="","",'迁盟总表'!X170)</x:f>
        <x:v>67.9</x:v>
      </x:c>
      <x:c r="R73" s="27" t="n">
        <x:f>IF('迁盟总表'!Y170="","",'迁盟总表'!Y170)</x:f>
        <x:v>237</x:v>
      </x:c>
      <x:c r="S73" s="55" t="str">
        <x:f>IF('迁盟总表'!Z170="","",'迁盟总表'!Z170)</x:f>
        <x:v>参考旧分配方案并结合容量调整</x:v>
      </x:c>
    </x:row>
    <x:row r="74" ht="20" customHeight="1">
      <x:c r="A74" s="26" t="str">
        <x:f>IF('迁盟总表'!B171="","",'迁盟总表'!B171)</x:f>
        <x:v>位面之子</x:v>
      </x:c>
      <x:c r="B74" s="27" t="str">
        <x:f>IF('迁盟总表'!C171="","",'迁盟总表'!C171)</x:f>
        <x:v>花晨</x:v>
      </x:c>
      <x:c r="C74" s="61" t="str">
        <x:f>IF('迁盟总表'!D171="","",'迁盟总表'!D171)</x:f>
        <x:v>花晨</x:v>
      </x:c>
      <x:c r="D74" s="27" t="str">
        <x:f>IF('迁盟总表'!E171="","",'迁盟总表'!E171)</x:f>
        <x:v>留盟</x:v>
      </x:c>
      <x:c r="E74" s="40" t="n">
        <x:f>IF('迁盟总表'!Q171="","",'迁盟总表'!Q171)</x:f>
        <x:v>467432702</x:v>
      </x:c>
      <x:c r="F74" s="40" t="n">
        <x:f>IF('迁盟总表'!R171="","",'迁盟总表'!R171)</x:f>
        <x:v>75571065</x:v>
      </x:c>
      <x:c r="G74" s="40" t="n">
        <x:f>IF('迁盟总表'!S171="","",'迁盟总表'!S171)</x:f>
        <x:v>280878494</x:v>
      </x:c>
      <x:c r="H74" s="37" t="n">
        <x:f>IF('迁盟总表'!H171="","",'迁盟总表'!H171)</x:f>
        <x:v>27.7</x:v>
      </x:c>
      <x:c r="I74" s="37" t="n">
        <x:f>IF('迁盟总表'!I171="","",'迁盟总表'!I171)</x:f>
        <x:v>24.6</x:v>
      </x:c>
      <x:c r="J74" s="40" t="n">
        <x:f>IF('迁盟总表'!J171="","",'迁盟总表'!J171)</x:f>
        <x:v>653</x:v>
      </x:c>
      <x:c r="K74" s="40" t="n">
        <x:f>IF('迁盟总表'!K171="","",'迁盟总表'!K171)</x:f>
        <x:v>612</x:v>
      </x:c>
      <x:c r="L74" s="40" t="n">
        <x:f>IF('迁盟总表'!L171="","",'迁盟总表'!L171)</x:f>
        <x:v>642</x:v>
      </x:c>
      <x:c r="M74" s="40" t="n">
        <x:f>IF('迁盟总表'!M171="","",'迁盟总表'!M171)</x:f>
        <x:v>509</x:v>
      </x:c>
      <x:c r="N74" s="40" t="n">
        <x:f>IF('迁盟总表'!N171="","",'迁盟总表'!N171)</x:f>
        <x:v>622</x:v>
      </x:c>
      <x:c r="O74" s="40" t="n">
        <x:f>IF('迁盟总表'!O171="","",'迁盟总表'!O171)</x:f>
        <x:v>722</x:v>
      </x:c>
      <x:c r="P74" s="40" t="n">
        <x:f>IF('迁盟总表'!P171="","",'迁盟总表'!P171)</x:f>
        <x:v>3760</x:v>
      </x:c>
      <x:c r="Q74" s="43" t="n">
        <x:f>IF('迁盟总表'!X171="","",'迁盟总表'!X171)</x:f>
        <x:v>67.8</x:v>
      </x:c>
      <x:c r="R74" s="27" t="n">
        <x:f>IF('迁盟总表'!Y171="","",'迁盟总表'!Y171)</x:f>
        <x:v>238</x:v>
      </x:c>
      <x:c r="S74" s="55" t="str">
        <x:f>IF('迁盟总表'!Z171="","",'迁盟总表'!Z171)</x:f>
        <x:v>保持当前盟，减少迁移成本</x:v>
      </x:c>
    </x:row>
    <x:row r="75" ht="20" customHeight="1">
      <x:c r="A75" s="26" t="str">
        <x:f>IF('迁盟总表'!B172="","",'迁盟总表'!B172)</x:f>
        <x:v>彩云之南</x:v>
      </x:c>
      <x:c r="B75" s="27" t="str">
        <x:f>IF('迁盟总表'!C172="","",'迁盟总表'!C172)</x:f>
        <x:v>花晨</x:v>
      </x:c>
      <x:c r="C75" s="61" t="str">
        <x:f>IF('迁盟总表'!D172="","",'迁盟总表'!D172)</x:f>
        <x:v>花晨</x:v>
      </x:c>
      <x:c r="D75" s="27" t="str">
        <x:f>IF('迁盟总表'!E172="","",'迁盟总表'!E172)</x:f>
        <x:v>留盟</x:v>
      </x:c>
      <x:c r="E75" s="40" t="n">
        <x:f>IF('迁盟总表'!Q172="","",'迁盟总表'!Q172)</x:f>
        <x:v>1721880932</x:v>
      </x:c>
      <x:c r="F75" s="40" t="n">
        <x:f>IF('迁盟总表'!R172="","",'迁盟总表'!R172)</x:f>
        <x:v>75014109</x:v>
      </x:c>
      <x:c r="G75" s="40" t="n">
        <x:f>IF('迁盟总表'!S172="","",'迁盟总表'!S172)</x:f>
        <x:v>210178420</x:v>
      </x:c>
      <x:c r="H75" s="37" t="n">
        <x:f>IF('迁盟总表'!H172="","",'迁盟总表'!H172)</x:f>
        <x:v>20</x:v>
      </x:c>
      <x:c r="I75" s="37" t="n">
        <x:f>IF('迁盟总表'!I172="","",'迁盟总表'!I172)</x:f>
        <x:v>20</x:v>
      </x:c>
      <x:c r="J75" s="40" t="n">
        <x:f>IF('迁盟总表'!J172="","",'迁盟总表'!J172)</x:f>
        <x:v>644</x:v>
      </x:c>
      <x:c r="K75" s="40" t="n">
        <x:f>IF('迁盟总表'!K172="","",'迁盟总表'!K172)</x:f>
        <x:v>604</x:v>
      </x:c>
      <x:c r="L75" s="40" t="n">
        <x:f>IF('迁盟总表'!L172="","",'迁盟总表'!L172)</x:f>
        <x:v>599</x:v>
      </x:c>
      <x:c r="M75" s="40" t="n">
        <x:f>IF('迁盟总表'!M172="","",'迁盟总表'!M172)</x:f>
        <x:v>549</x:v>
      </x:c>
      <x:c r="N75" s="40" t="n">
        <x:f>IF('迁盟总表'!N172="","",'迁盟总表'!N172)</x:f>
        <x:v>682</x:v>
      </x:c>
      <x:c r="O75" s="40" t="n">
        <x:f>IF('迁盟总表'!O172="","",'迁盟总表'!O172)</x:f>
        <x:v>562</x:v>
      </x:c>
      <x:c r="P75" s="40" t="n">
        <x:f>IF('迁盟总表'!P172="","",'迁盟总表'!P172)</x:f>
        <x:v>3640</x:v>
      </x:c>
      <x:c r="Q75" s="43" t="n">
        <x:f>IF('迁盟总表'!X172="","",'迁盟总表'!X172)</x:f>
        <x:v>67.6</x:v>
      </x:c>
      <x:c r="R75" s="27" t="n">
        <x:f>IF('迁盟总表'!Y172="","",'迁盟总表'!Y172)</x:f>
        <x:v>240</x:v>
      </x:c>
      <x:c r="S75" s="55" t="str">
        <x:f>IF('迁盟总表'!Z172="","",'迁盟总表'!Z172)</x:f>
        <x:v>保持当前盟，减少迁移成本</x:v>
      </x:c>
    </x:row>
    <x:row r="76" ht="20" customHeight="1">
      <x:c r="A76" s="26" t="str">
        <x:f>IF('迁盟总表'!B173="","",'迁盟总表'!B173)</x:f>
        <x:v>随缘一生</x:v>
      </x:c>
      <x:c r="B76" s="27" t="str">
        <x:f>IF('迁盟总表'!C173="","",'迁盟总表'!C173)</x:f>
        <x:v>花晨</x:v>
      </x:c>
      <x:c r="C76" s="61" t="str">
        <x:f>IF('迁盟总表'!D173="","",'迁盟总表'!D173)</x:f>
        <x:v>花晨</x:v>
      </x:c>
      <x:c r="D76" s="27" t="str">
        <x:f>IF('迁盟总表'!E173="","",'迁盟总表'!E173)</x:f>
        <x:v>留盟</x:v>
      </x:c>
      <x:c r="E76" s="40" t="n">
        <x:f>IF('迁盟总表'!Q173="","",'迁盟总表'!Q173)</x:f>
        <x:v>621343222</x:v>
      </x:c>
      <x:c r="F76" s="40" t="n">
        <x:f>IF('迁盟总表'!R173="","",'迁盟总表'!R173)</x:f>
        <x:v>71411705</x:v>
      </x:c>
      <x:c r="G76" s="40" t="n">
        <x:f>IF('迁盟总表'!S173="","",'迁盟总表'!S173)</x:f>
        <x:v>247663556</x:v>
      </x:c>
      <x:c r="H76" s="37" t="str">
        <x:f>IF('迁盟总表'!H173="","",'迁盟总表'!H173)</x:f>
      </x:c>
      <x:c r="I76" s="37" t="str">
        <x:f>IF('迁盟总表'!I173="","",'迁盟总表'!I173)</x:f>
      </x:c>
      <x:c r="J76" s="40" t="str">
        <x:f>IF('迁盟总表'!J173="","",'迁盟总表'!J173)</x:f>
      </x:c>
      <x:c r="K76" s="40" t="str">
        <x:f>IF('迁盟总表'!K173="","",'迁盟总表'!K173)</x:f>
      </x:c>
      <x:c r="L76" s="40" t="str">
        <x:f>IF('迁盟总表'!L173="","",'迁盟总表'!L173)</x:f>
      </x:c>
      <x:c r="M76" s="40" t="str">
        <x:f>IF('迁盟总表'!M173="","",'迁盟总表'!M173)</x:f>
      </x:c>
      <x:c r="N76" s="40" t="str">
        <x:f>IF('迁盟总表'!N173="","",'迁盟总表'!N173)</x:f>
      </x:c>
      <x:c r="O76" s="40" t="str">
        <x:f>IF('迁盟总表'!O173="","",'迁盟总表'!O173)</x:f>
      </x:c>
      <x:c r="P76" s="40" t="str">
        <x:f>IF('迁盟总表'!P173="","",'迁盟总表'!P173)</x:f>
      </x:c>
      <x:c r="Q76" s="43" t="n">
        <x:f>IF('迁盟总表'!X173="","",'迁盟总表'!X173)</x:f>
        <x:v>67</x:v>
      </x:c>
      <x:c r="R76" s="27" t="n">
        <x:f>IF('迁盟总表'!Y173="","",'迁盟总表'!Y173)</x:f>
        <x:v>242</x:v>
      </x:c>
      <x:c r="S76" s="55" t="str">
        <x:f>IF('迁盟总表'!Z173="","",'迁盟总表'!Z173)</x:f>
        <x:v>保持当前盟，减少迁移成本</x:v>
      </x:c>
    </x:row>
    <x:row r="77" ht="20" customHeight="1">
      <x:c r="A77" s="26" t="str">
        <x:f>IF('迁盟总表'!B174="","",'迁盟总表'!B174)</x:f>
        <x:v>秦八鹿</x:v>
      </x:c>
      <x:c r="B77" s="27" t="str">
        <x:f>IF('迁盟总表'!C174="","",'迁盟总表'!C174)</x:f>
        <x:v>花晨</x:v>
      </x:c>
      <x:c r="C77" s="61" t="str">
        <x:f>IF('迁盟总表'!D174="","",'迁盟总表'!D174)</x:f>
        <x:v>花晨</x:v>
      </x:c>
      <x:c r="D77" s="27" t="str">
        <x:f>IF('迁盟总表'!E174="","",'迁盟总表'!E174)</x:f>
        <x:v>留盟</x:v>
      </x:c>
      <x:c r="E77" s="40" t="n">
        <x:f>IF('迁盟总表'!Q174="","",'迁盟总表'!Q174)</x:f>
        <x:v>321964368</x:v>
      </x:c>
      <x:c r="F77" s="40" t="n">
        <x:f>IF('迁盟总表'!R174="","",'迁盟总表'!R174)</x:f>
        <x:v>78008441</x:v>
      </x:c>
      <x:c r="G77" s="40" t="n">
        <x:f>IF('迁盟总表'!S174="","",'迁盟总表'!S174)</x:f>
        <x:v>269871777</x:v>
      </x:c>
      <x:c r="H77" s="37" t="n">
        <x:f>IF('迁盟总表'!H174="","",'迁盟总表'!H174)</x:f>
        <x:v>28.5</x:v>
      </x:c>
      <x:c r="I77" s="37" t="n">
        <x:f>IF('迁盟总表'!I174="","",'迁盟总表'!I174)</x:f>
        <x:v>25.9</x:v>
      </x:c>
      <x:c r="J77" s="40" t="n">
        <x:f>IF('迁盟总表'!J174="","",'迁盟总表'!J174)</x:f>
        <x:v>698</x:v>
      </x:c>
      <x:c r="K77" s="40" t="n">
        <x:f>IF('迁盟总表'!K174="","",'迁盟总表'!K174)</x:f>
        <x:v>586</x:v>
      </x:c>
      <x:c r="L77" s="40" t="n">
        <x:f>IF('迁盟总表'!L174="","",'迁盟总表'!L174)</x:f>
        <x:v>610</x:v>
      </x:c>
      <x:c r="M77" s="40" t="n">
        <x:f>IF('迁盟总表'!M174="","",'迁盟总表'!M174)</x:f>
        <x:v>470</x:v>
      </x:c>
      <x:c r="N77" s="40" t="n">
        <x:f>IF('迁盟总表'!N174="","",'迁盟总表'!N174)</x:f>
        <x:v>645</x:v>
      </x:c>
      <x:c r="O77" s="40" t="n">
        <x:f>IF('迁盟总表'!O174="","",'迁盟总表'!O174)</x:f>
        <x:v>464</x:v>
      </x:c>
      <x:c r="P77" s="40" t="n">
        <x:f>IF('迁盟总表'!P174="","",'迁盟总表'!P174)</x:f>
        <x:v>3473</x:v>
      </x:c>
      <x:c r="Q77" s="43" t="n">
        <x:f>IF('迁盟总表'!X174="","",'迁盟总表'!X174)</x:f>
        <x:v>67</x:v>
      </x:c>
      <x:c r="R77" s="27" t="n">
        <x:f>IF('迁盟总表'!Y174="","",'迁盟总表'!Y174)</x:f>
        <x:v>242</x:v>
      </x:c>
      <x:c r="S77" s="55" t="str">
        <x:f>IF('迁盟总表'!Z174="","",'迁盟总表'!Z174)</x:f>
        <x:v>保持当前盟，减少迁移成本</x:v>
      </x:c>
    </x:row>
    <x:row r="78" ht="20" customHeight="1">
      <x:c r="A78" s="26" t="str">
        <x:f>IF('迁盟总表'!B175="","",'迁盟总表'!B175)</x:f>
        <x:v>云笙翡翠</x:v>
      </x:c>
      <x:c r="B78" s="27" t="str">
        <x:f>IF('迁盟总表'!C175="","",'迁盟总表'!C175)</x:f>
        <x:v>花晨</x:v>
      </x:c>
      <x:c r="C78" s="61" t="str">
        <x:f>IF('迁盟总表'!D175="","",'迁盟总表'!D175)</x:f>
        <x:v>花晨</x:v>
      </x:c>
      <x:c r="D78" s="27" t="str">
        <x:f>IF('迁盟总表'!E175="","",'迁盟总表'!E175)</x:f>
        <x:v>留盟</x:v>
      </x:c>
      <x:c r="E78" s="40" t="n">
        <x:f>IF('迁盟总表'!Q175="","",'迁盟总表'!Q175)</x:f>
        <x:v>1219177024</x:v>
      </x:c>
      <x:c r="F78" s="40" t="n">
        <x:f>IF('迁盟总表'!R175="","",'迁盟总表'!R175)</x:f>
        <x:v>72087570</x:v>
      </x:c>
      <x:c r="G78" s="40" t="n">
        <x:f>IF('迁盟总表'!S175="","",'迁盟总表'!S175)</x:f>
        <x:v>224802270</x:v>
      </x:c>
      <x:c r="H78" s="37" t="n">
        <x:f>IF('迁盟总表'!H175="","",'迁盟总表'!H175)</x:f>
        <x:v>26.7</x:v>
      </x:c>
      <x:c r="I78" s="37" t="n">
        <x:f>IF('迁盟总表'!I175="","",'迁盟总表'!I175)</x:f>
        <x:v>26.7</x:v>
      </x:c>
      <x:c r="J78" s="40" t="n">
        <x:f>IF('迁盟总表'!J175="","",'迁盟总表'!J175)</x:f>
        <x:v>629</x:v>
      </x:c>
      <x:c r="K78" s="40" t="n">
        <x:f>IF('迁盟总表'!K175="","",'迁盟总表'!K175)</x:f>
        <x:v>608</x:v>
      </x:c>
      <x:c r="L78" s="40" t="n">
        <x:f>IF('迁盟总表'!L175="","",'迁盟总表'!L175)</x:f>
        <x:v>681</x:v>
      </x:c>
      <x:c r="M78" s="40" t="n">
        <x:f>IF('迁盟总表'!M175="","",'迁盟总表'!M175)</x:f>
        <x:v>544</x:v>
      </x:c>
      <x:c r="N78" s="40" t="n">
        <x:f>IF('迁盟总表'!N175="","",'迁盟总表'!N175)</x:f>
        <x:v>716</x:v>
      </x:c>
      <x:c r="O78" s="40" t="n">
        <x:f>IF('迁盟总表'!O175="","",'迁盟总表'!O175)</x:f>
        <x:v>593</x:v>
      </x:c>
      <x:c r="P78" s="40" t="n">
        <x:f>IF('迁盟总表'!P175="","",'迁盟总表'!P175)</x:f>
        <x:v>3771</x:v>
      </x:c>
      <x:c r="Q78" s="43" t="n">
        <x:f>IF('迁盟总表'!X175="","",'迁盟总表'!X175)</x:f>
        <x:v>66.9</x:v>
      </x:c>
      <x:c r="R78" s="27" t="n">
        <x:f>IF('迁盟总表'!Y175="","",'迁盟总表'!Y175)</x:f>
        <x:v>244</x:v>
      </x:c>
      <x:c r="S78" s="55" t="str">
        <x:f>IF('迁盟总表'!Z175="","",'迁盟总表'!Z175)</x:f>
        <x:v>保持当前盟，减少迁移成本</x:v>
      </x:c>
    </x:row>
    <x:row r="79" ht="20" customHeight="1">
      <x:c r="A79" s="26" t="str">
        <x:f>IF('迁盟总表'!B176="","",'迁盟总表'!B176)</x:f>
        <x:v>追梦者</x:v>
      </x:c>
      <x:c r="B79" s="27" t="str">
        <x:f>IF('迁盟总表'!C176="","",'迁盟总表'!C176)</x:f>
        <x:v>兰亭</x:v>
      </x:c>
      <x:c r="C79" s="61" t="str">
        <x:f>IF('迁盟总表'!D176="","",'迁盟总表'!D176)</x:f>
        <x:v>花晨</x:v>
      </x:c>
      <x:c r="D79" s="27" t="str">
        <x:f>IF('迁盟总表'!E176="","",'迁盟总表'!E176)</x:f>
        <x:v>兰亭→花晨</x:v>
      </x:c>
      <x:c r="E79" s="40" t="n">
        <x:f>IF('迁盟总表'!Q176="","",'迁盟总表'!Q176)</x:f>
        <x:v>3728997154</x:v>
      </x:c>
      <x:c r="F79" s="40" t="n">
        <x:f>IF('迁盟总表'!R176="","",'迁盟总表'!R176)</x:f>
        <x:v>65823659</x:v>
      </x:c>
      <x:c r="G79" s="40" t="n">
        <x:f>IF('迁盟总表'!S176="","",'迁盟总表'!S176)</x:f>
        <x:v>220012399</x:v>
      </x:c>
      <x:c r="H79" s="37" t="n">
        <x:f>IF('迁盟总表'!H176="","",'迁盟总表'!H176)</x:f>
        <x:v>26.4</x:v>
      </x:c>
      <x:c r="I79" s="37" t="n">
        <x:f>IF('迁盟总表'!I176="","",'迁盟总表'!I176)</x:f>
        <x:v>26.4</x:v>
      </x:c>
      <x:c r="J79" s="40" t="n">
        <x:f>IF('迁盟总表'!J176="","",'迁盟总表'!J176)</x:f>
        <x:v>668</x:v>
      </x:c>
      <x:c r="K79" s="40" t="n">
        <x:f>IF('迁盟总表'!K176="","",'迁盟总表'!K176)</x:f>
        <x:v>667</x:v>
      </x:c>
      <x:c r="L79" s="40" t="n">
        <x:f>IF('迁盟总表'!L176="","",'迁盟总表'!L176)</x:f>
        <x:v>588</x:v>
      </x:c>
      <x:c r="M79" s="40" t="n">
        <x:f>IF('迁盟总表'!M176="","",'迁盟总表'!M176)</x:f>
        <x:v>361</x:v>
      </x:c>
      <x:c r="N79" s="40" t="n">
        <x:f>IF('迁盟总表'!N176="","",'迁盟总表'!N176)</x:f>
        <x:v>685</x:v>
      </x:c>
      <x:c r="O79" s="40" t="n">
        <x:f>IF('迁盟总表'!O176="","",'迁盟总表'!O176)</x:f>
        <x:v>684</x:v>
      </x:c>
      <x:c r="P79" s="40" t="n">
        <x:f>IF('迁盟总表'!P176="","",'迁盟总表'!P176)</x:f>
        <x:v>3653</x:v>
      </x:c>
      <x:c r="Q79" s="43" t="n">
        <x:f>IF('迁盟总表'!X176="","",'迁盟总表'!X176)</x:f>
        <x:v>66.9</x:v>
      </x:c>
      <x:c r="R79" s="27" t="n">
        <x:f>IF('迁盟总表'!Y176="","",'迁盟总表'!Y176)</x:f>
        <x:v>244</x:v>
      </x:c>
      <x:c r="S79" s="55" t="str">
        <x:f>IF('迁盟总表'!Z176="","",'迁盟总表'!Z176)</x:f>
        <x:v>按原意向并结合容量调整</x:v>
      </x:c>
    </x:row>
    <x:row r="80" ht="20" customHeight="1">
      <x:c r="A80" s="26" t="str">
        <x:f>IF('迁盟总表'!B177="","",'迁盟总表'!B177)</x:f>
        <x:v>为了艾泽拉斯</x:v>
      </x:c>
      <x:c r="B80" s="27" t="str">
        <x:f>IF('迁盟总表'!C177="","",'迁盟总表'!C177)</x:f>
        <x:v>花晨</x:v>
      </x:c>
      <x:c r="C80" s="61" t="str">
        <x:f>IF('迁盟总表'!D177="","",'迁盟总表'!D177)</x:f>
        <x:v>花晨</x:v>
      </x:c>
      <x:c r="D80" s="27" t="str">
        <x:f>IF('迁盟总表'!E177="","",'迁盟总表'!E177)</x:f>
        <x:v>留盟</x:v>
      </x:c>
      <x:c r="E80" s="40" t="n">
        <x:f>IF('迁盟总表'!Q177="","",'迁盟总表'!Q177)</x:f>
        <x:v>1993162702</x:v>
      </x:c>
      <x:c r="F80" s="40" t="n">
        <x:f>IF('迁盟总表'!R177="","",'迁盟总表'!R177)</x:f>
        <x:v>70884376</x:v>
      </x:c>
      <x:c r="G80" s="40" t="n">
        <x:f>IF('迁盟总表'!S177="","",'迁盟总表'!S177)</x:f>
        <x:v>208659657</x:v>
      </x:c>
      <x:c r="H80" s="37" t="n">
        <x:f>IF('迁盟总表'!H177="","",'迁盟总表'!H177)</x:f>
        <x:v>27.4</x:v>
      </x:c>
      <x:c r="I80" s="37" t="n">
        <x:f>IF('迁盟总表'!I177="","",'迁盟总表'!I177)</x:f>
        <x:v>26</x:v>
      </x:c>
      <x:c r="J80" s="40" t="n">
        <x:f>IF('迁盟总表'!J177="","",'迁盟总表'!J177)</x:f>
        <x:v>650</x:v>
      </x:c>
      <x:c r="K80" s="40" t="n">
        <x:f>IF('迁盟总表'!K177="","",'迁盟总表'!K177)</x:f>
        <x:v>425</x:v>
      </x:c>
      <x:c r="L80" s="40" t="n">
        <x:f>IF('迁盟总表'!L177="","",'迁盟总表'!L177)</x:f>
        <x:v>580</x:v>
      </x:c>
      <x:c r="M80" s="40" t="n">
        <x:f>IF('迁盟总表'!M177="","",'迁盟总表'!M177)</x:f>
        <x:v>650</x:v>
      </x:c>
      <x:c r="N80" s="40" t="n">
        <x:f>IF('迁盟总表'!N177="","",'迁盟总表'!N177)</x:f>
        <x:v>683</x:v>
      </x:c>
      <x:c r="O80" s="40" t="n">
        <x:f>IF('迁盟总表'!O177="","",'迁盟总表'!O177)</x:f>
        <x:v>650</x:v>
      </x:c>
      <x:c r="P80" s="40" t="n">
        <x:f>IF('迁盟总表'!P177="","",'迁盟总表'!P177)</x:f>
        <x:v>3638</x:v>
      </x:c>
      <x:c r="Q80" s="43" t="n">
        <x:f>IF('迁盟总表'!X177="","",'迁盟总表'!X177)</x:f>
        <x:v>66.7</x:v>
      </x:c>
      <x:c r="R80" s="27" t="n">
        <x:f>IF('迁盟总表'!Y177="","",'迁盟总表'!Y177)</x:f>
        <x:v>246</x:v>
      </x:c>
      <x:c r="S80" s="55" t="str">
        <x:f>IF('迁盟总表'!Z177="","",'迁盟总表'!Z177)</x:f>
        <x:v>保持当前盟，减少迁移成本</x:v>
      </x:c>
    </x:row>
    <x:row r="81" ht="20" customHeight="1">
      <x:c r="A81" s="26" t="str">
        <x:f>IF('迁盟总表'!B178="","",'迁盟总表'!B178)</x:f>
        <x:v>枫树湾</x:v>
      </x:c>
      <x:c r="B81" s="27" t="str">
        <x:f>IF('迁盟总表'!C178="","",'迁盟总表'!C178)</x:f>
        <x:v>花晨</x:v>
      </x:c>
      <x:c r="C81" s="61" t="str">
        <x:f>IF('迁盟总表'!D178="","",'迁盟总表'!D178)</x:f>
        <x:v>花晨</x:v>
      </x:c>
      <x:c r="D81" s="27" t="str">
        <x:f>IF('迁盟总表'!E178="","",'迁盟总表'!E178)</x:f>
        <x:v>留盟</x:v>
      </x:c>
      <x:c r="E81" s="40" t="n">
        <x:f>IF('迁盟总表'!Q178="","",'迁盟总表'!Q178)</x:f>
        <x:v>1513314172</x:v>
      </x:c>
      <x:c r="F81" s="40" t="n">
        <x:f>IF('迁盟总表'!R178="","",'迁盟总表'!R178)</x:f>
        <x:v>67581323</x:v>
      </x:c>
      <x:c r="G81" s="40" t="n">
        <x:f>IF('迁盟总表'!S178="","",'迁盟总表'!S178)</x:f>
        <x:v>212867907</x:v>
      </x:c>
      <x:c r="H81" s="37" t="str">
        <x:f>IF('迁盟总表'!H178="","",'迁盟总表'!H178)</x:f>
      </x:c>
      <x:c r="I81" s="37" t="str">
        <x:f>IF('迁盟总表'!I178="","",'迁盟总表'!I178)</x:f>
      </x:c>
      <x:c r="J81" s="40" t="str">
        <x:f>IF('迁盟总表'!J178="","",'迁盟总表'!J178)</x:f>
      </x:c>
      <x:c r="K81" s="40" t="str">
        <x:f>IF('迁盟总表'!K178="","",'迁盟总表'!K178)</x:f>
      </x:c>
      <x:c r="L81" s="40" t="str">
        <x:f>IF('迁盟总表'!L178="","",'迁盟总表'!L178)</x:f>
      </x:c>
      <x:c r="M81" s="40" t="str">
        <x:f>IF('迁盟总表'!M178="","",'迁盟总表'!M178)</x:f>
      </x:c>
      <x:c r="N81" s="40" t="str">
        <x:f>IF('迁盟总表'!N178="","",'迁盟总表'!N178)</x:f>
      </x:c>
      <x:c r="O81" s="40" t="str">
        <x:f>IF('迁盟总表'!O178="","",'迁盟总表'!O178)</x:f>
      </x:c>
      <x:c r="P81" s="40" t="str">
        <x:f>IF('迁盟总表'!P178="","",'迁盟总表'!P178)</x:f>
      </x:c>
      <x:c r="Q81" s="43" t="n">
        <x:f>IF('迁盟总表'!X178="","",'迁盟总表'!X178)</x:f>
        <x:v>66.5</x:v>
      </x:c>
      <x:c r="R81" s="27" t="n">
        <x:f>IF('迁盟总表'!Y178="","",'迁盟总表'!Y178)</x:f>
        <x:v>247</x:v>
      </x:c>
      <x:c r="S81" s="55" t="str">
        <x:f>IF('迁盟总表'!Z178="","",'迁盟总表'!Z178)</x:f>
        <x:v>保持当前盟，减少迁移成本</x:v>
      </x:c>
    </x:row>
    <x:row r="82" ht="20" customHeight="1">
      <x:c r="A82" s="26" t="str">
        <x:f>IF('迁盟总表'!B179="","",'迁盟总表'!B179)</x:f>
        <x:v>涿郡屠户</x:v>
      </x:c>
      <x:c r="B82" s="27" t="str">
        <x:f>IF('迁盟总表'!C179="","",'迁盟总表'!C179)</x:f>
        <x:v>兰亭</x:v>
      </x:c>
      <x:c r="C82" s="61" t="str">
        <x:f>IF('迁盟总表'!D179="","",'迁盟总表'!D179)</x:f>
        <x:v>花晨</x:v>
      </x:c>
      <x:c r="D82" s="27" t="str">
        <x:f>IF('迁盟总表'!E179="","",'迁盟总表'!E179)</x:f>
        <x:v>兰亭→花晨</x:v>
      </x:c>
      <x:c r="E82" s="40" t="n">
        <x:f>IF('迁盟总表'!Q179="","",'迁盟总表'!Q179)</x:f>
        <x:v>95363376</x:v>
      </x:c>
      <x:c r="F82" s="40" t="n">
        <x:f>IF('迁盟总表'!R179="","",'迁盟总表'!R179)</x:f>
        <x:v>77408055</x:v>
      </x:c>
      <x:c r="G82" s="40" t="n">
        <x:f>IF('迁盟总表'!S179="","",'迁盟总表'!S179)</x:f>
        <x:v>277211281</x:v>
      </x:c>
      <x:c r="H82" s="37" t="str">
        <x:f>IF('迁盟总表'!H179="","",'迁盟总表'!H179)</x:f>
      </x:c>
      <x:c r="I82" s="37" t="str">
        <x:f>IF('迁盟总表'!I179="","",'迁盟总表'!I179)</x:f>
      </x:c>
      <x:c r="J82" s="40" t="str">
        <x:f>IF('迁盟总表'!J179="","",'迁盟总表'!J179)</x:f>
      </x:c>
      <x:c r="K82" s="40" t="str">
        <x:f>IF('迁盟总表'!K179="","",'迁盟总表'!K179)</x:f>
      </x:c>
      <x:c r="L82" s="40" t="str">
        <x:f>IF('迁盟总表'!L179="","",'迁盟总表'!L179)</x:f>
      </x:c>
      <x:c r="M82" s="40" t="str">
        <x:f>IF('迁盟总表'!M179="","",'迁盟总表'!M179)</x:f>
      </x:c>
      <x:c r="N82" s="40" t="str">
        <x:f>IF('迁盟总表'!N179="","",'迁盟总表'!N179)</x:f>
      </x:c>
      <x:c r="O82" s="40" t="str">
        <x:f>IF('迁盟总表'!O179="","",'迁盟总表'!O179)</x:f>
      </x:c>
      <x:c r="P82" s="40" t="str">
        <x:f>IF('迁盟总表'!P179="","",'迁盟总表'!P179)</x:f>
      </x:c>
      <x:c r="Q82" s="43" t="n">
        <x:f>IF('迁盟总表'!X179="","",'迁盟总表'!X179)</x:f>
        <x:v>66.2</x:v>
      </x:c>
      <x:c r="R82" s="27" t="n">
        <x:f>IF('迁盟总表'!Y179="","",'迁盟总表'!Y179)</x:f>
        <x:v>250</x:v>
      </x:c>
      <x:c r="S82" s="55" t="str">
        <x:f>IF('迁盟总表'!Z179="","",'迁盟总表'!Z179)</x:f>
        <x:v>参考旧分配方案并结合容量调整</x:v>
      </x:c>
    </x:row>
    <x:row r="83" ht="20" customHeight="1">
      <x:c r="A83" s="26" t="str">
        <x:f>IF('迁盟总表'!B180="","",'迁盟总表'!B180)</x:f>
        <x:v>红伞伞</x:v>
      </x:c>
      <x:c r="B83" s="27" t="str">
        <x:f>IF('迁盟总表'!C180="","",'迁盟总表'!C180)</x:f>
        <x:v>花晨</x:v>
      </x:c>
      <x:c r="C83" s="61" t="str">
        <x:f>IF('迁盟总表'!D180="","",'迁盟总表'!D180)</x:f>
        <x:v>花晨</x:v>
      </x:c>
      <x:c r="D83" s="27" t="str">
        <x:f>IF('迁盟总表'!E180="","",'迁盟总表'!E180)</x:f>
        <x:v>留盟</x:v>
      </x:c>
      <x:c r="E83" s="40" t="n">
        <x:f>IF('迁盟总表'!Q180="","",'迁盟总表'!Q180)</x:f>
        <x:v>169533888</x:v>
      </x:c>
      <x:c r="F83" s="40" t="n">
        <x:f>IF('迁盟总表'!R180="","",'迁盟总表'!R180)</x:f>
        <x:v>77989545</x:v>
      </x:c>
      <x:c r="G83" s="40" t="n">
        <x:f>IF('迁盟总表'!S180="","",'迁盟总表'!S180)</x:f>
        <x:v>243710636</x:v>
      </x:c>
      <x:c r="H83" s="37" t="n">
        <x:f>IF('迁盟总表'!H180="","",'迁盟总表'!H180)</x:f>
        <x:v>25.5</x:v>
      </x:c>
      <x:c r="I83" s="37" t="n">
        <x:f>IF('迁盟总表'!I180="","",'迁盟总表'!I180)</x:f>
        <x:v>25.5</x:v>
      </x:c>
      <x:c r="J83" s="40" t="n">
        <x:f>IF('迁盟总表'!J180="","",'迁盟总表'!J180)</x:f>
        <x:v>716</x:v>
      </x:c>
      <x:c r="K83" s="40" t="n">
        <x:f>IF('迁盟总表'!K180="","",'迁盟总表'!K180)</x:f>
        <x:v>762</x:v>
      </x:c>
      <x:c r="L83" s="40" t="n">
        <x:f>IF('迁盟总表'!L180="","",'迁盟总表'!L180)</x:f>
        <x:v>623</x:v>
      </x:c>
      <x:c r="M83" s="40" t="n">
        <x:f>IF('迁盟总表'!M180="","",'迁盟总表'!M180)</x:f>
        <x:v>423</x:v>
      </x:c>
      <x:c r="N83" s="40" t="n">
        <x:f>IF('迁盟总表'!N180="","",'迁盟总表'!N180)</x:f>
        <x:v>680</x:v>
      </x:c>
      <x:c r="O83" s="40" t="n">
        <x:f>IF('迁盟总表'!O180="","",'迁盟总表'!O180)</x:f>
        <x:v>632</x:v>
      </x:c>
      <x:c r="P83" s="40" t="n">
        <x:f>IF('迁盟总表'!P180="","",'迁盟总表'!P180)</x:f>
        <x:v>3836</x:v>
      </x:c>
      <x:c r="Q83" s="43" t="n">
        <x:f>IF('迁盟总表'!X180="","",'迁盟总表'!X180)</x:f>
        <x:v>65.7</x:v>
      </x:c>
      <x:c r="R83" s="27" t="n">
        <x:f>IF('迁盟总表'!Y180="","",'迁盟总表'!Y180)</x:f>
        <x:v>252</x:v>
      </x:c>
      <x:c r="S83" s="55" t="str">
        <x:f>IF('迁盟总表'!Z180="","",'迁盟总表'!Z180)</x:f>
        <x:v>保持当前盟，减少迁移成本</x:v>
      </x:c>
    </x:row>
    <x:row r="84" ht="20" customHeight="1">
      <x:c r="A84" s="26" t="str">
        <x:f>IF('迁盟总表'!B181="","",'迁盟总表'!B181)</x:f>
        <x:v>心存晴朗</x:v>
      </x:c>
      <x:c r="B84" s="27" t="str">
        <x:f>IF('迁盟总表'!C181="","",'迁盟总表'!C181)</x:f>
        <x:v>花晨</x:v>
      </x:c>
      <x:c r="C84" s="61" t="str">
        <x:f>IF('迁盟总表'!D181="","",'迁盟总表'!D181)</x:f>
        <x:v>花晨</x:v>
      </x:c>
      <x:c r="D84" s="27" t="str">
        <x:f>IF('迁盟总表'!E181="","",'迁盟总表'!E181)</x:f>
        <x:v>留盟</x:v>
      </x:c>
      <x:c r="E84" s="40" t="n">
        <x:f>IF('迁盟总表'!Q181="","",'迁盟总表'!Q181)</x:f>
        <x:v>2181774426</x:v>
      </x:c>
      <x:c r="F84" s="40" t="n">
        <x:f>IF('迁盟总表'!R181="","",'迁盟总表'!R181)</x:f>
        <x:v>62541413</x:v>
      </x:c>
      <x:c r="G84" s="40" t="n">
        <x:f>IF('迁盟总表'!S181="","",'迁盟总表'!S181)</x:f>
        <x:v>178455400</x:v>
      </x:c>
      <x:c r="H84" s="37" t="str">
        <x:f>IF('迁盟总表'!H181="","",'迁盟总表'!H181)</x:f>
      </x:c>
      <x:c r="I84" s="37" t="str">
        <x:f>IF('迁盟总表'!I181="","",'迁盟总表'!I181)</x:f>
      </x:c>
      <x:c r="J84" s="40" t="str">
        <x:f>IF('迁盟总表'!J181="","",'迁盟总表'!J181)</x:f>
      </x:c>
      <x:c r="K84" s="40" t="str">
        <x:f>IF('迁盟总表'!K181="","",'迁盟总表'!K181)</x:f>
      </x:c>
      <x:c r="L84" s="40" t="str">
        <x:f>IF('迁盟总表'!L181="","",'迁盟总表'!L181)</x:f>
      </x:c>
      <x:c r="M84" s="40" t="str">
        <x:f>IF('迁盟总表'!M181="","",'迁盟总表'!M181)</x:f>
      </x:c>
      <x:c r="N84" s="40" t="str">
        <x:f>IF('迁盟总表'!N181="","",'迁盟总表'!N181)</x:f>
      </x:c>
      <x:c r="O84" s="40" t="str">
        <x:f>IF('迁盟总表'!O181="","",'迁盟总表'!O181)</x:f>
      </x:c>
      <x:c r="P84" s="40" t="str">
        <x:f>IF('迁盟总表'!P181="","",'迁盟总表'!P181)</x:f>
      </x:c>
      <x:c r="Q84" s="43" t="n">
        <x:f>IF('迁盟总表'!X181="","",'迁盟总表'!X181)</x:f>
        <x:v>64.6</x:v>
      </x:c>
      <x:c r="R84" s="27" t="n">
        <x:f>IF('迁盟总表'!Y181="","",'迁盟总表'!Y181)</x:f>
        <x:v>260</x:v>
      </x:c>
      <x:c r="S84" s="55" t="str">
        <x:f>IF('迁盟总表'!Z181="","",'迁盟总表'!Z181)</x:f>
        <x:v>保持当前盟，减少迁移成本</x:v>
      </x:c>
    </x:row>
    <x:row r="85" ht="20" customHeight="1">
      <x:c r="A85" s="26" t="str">
        <x:f>IF('迁盟总表'!B182="","",'迁盟总表'!B182)</x:f>
        <x:v>阿波池得</x:v>
      </x:c>
      <x:c r="B85" s="27" t="str">
        <x:f>IF('迁盟总表'!C182="","",'迁盟总表'!C182)</x:f>
        <x:v>花晨</x:v>
      </x:c>
      <x:c r="C85" s="61" t="str">
        <x:f>IF('迁盟总表'!D182="","",'迁盟总表'!D182)</x:f>
        <x:v>花晨</x:v>
      </x:c>
      <x:c r="D85" s="27" t="str">
        <x:f>IF('迁盟总表'!E182="","",'迁盟总表'!E182)</x:f>
        <x:v>留盟</x:v>
      </x:c>
      <x:c r="E85" s="40" t="n">
        <x:f>IF('迁盟总表'!Q182="","",'迁盟总表'!Q182)</x:f>
        <x:v>304565854</x:v>
      </x:c>
      <x:c r="F85" s="40" t="n">
        <x:f>IF('迁盟总表'!R182="","",'迁盟总表'!R182)</x:f>
        <x:v>74137183</x:v>
      </x:c>
      <x:c r="G85" s="40" t="n">
        <x:f>IF('迁盟总表'!S182="","",'迁盟总表'!S182)</x:f>
        <x:v>189742182</x:v>
      </x:c>
      <x:c r="H85" s="37" t="str">
        <x:f>IF('迁盟总表'!H182="","",'迁盟总表'!H182)</x:f>
      </x:c>
      <x:c r="I85" s="37" t="str">
        <x:f>IF('迁盟总表'!I182="","",'迁盟总表'!I182)</x:f>
      </x:c>
      <x:c r="J85" s="40" t="str">
        <x:f>IF('迁盟总表'!J182="","",'迁盟总表'!J182)</x:f>
      </x:c>
      <x:c r="K85" s="40" t="str">
        <x:f>IF('迁盟总表'!K182="","",'迁盟总表'!K182)</x:f>
      </x:c>
      <x:c r="L85" s="40" t="str">
        <x:f>IF('迁盟总表'!L182="","",'迁盟总表'!L182)</x:f>
      </x:c>
      <x:c r="M85" s="40" t="str">
        <x:f>IF('迁盟总表'!M182="","",'迁盟总表'!M182)</x:f>
      </x:c>
      <x:c r="N85" s="40" t="str">
        <x:f>IF('迁盟总表'!N182="","",'迁盟总表'!N182)</x:f>
      </x:c>
      <x:c r="O85" s="40" t="str">
        <x:f>IF('迁盟总表'!O182="","",'迁盟总表'!O182)</x:f>
      </x:c>
      <x:c r="P85" s="40" t="str">
        <x:f>IF('迁盟总表'!P182="","",'迁盟总表'!P182)</x:f>
      </x:c>
      <x:c r="Q85" s="43" t="n">
        <x:f>IF('迁盟总表'!X182="","",'迁盟总表'!X182)</x:f>
        <x:v>64.6</x:v>
      </x:c>
      <x:c r="R85" s="27" t="n">
        <x:f>IF('迁盟总表'!Y182="","",'迁盟总表'!Y182)</x:f>
        <x:v>260</x:v>
      </x:c>
      <x:c r="S85" s="55" t="str">
        <x:f>IF('迁盟总表'!Z182="","",'迁盟总表'!Z182)</x:f>
        <x:v>保持当前盟，减少迁移成本</x:v>
      </x:c>
    </x:row>
    <x:row r="86" ht="20" customHeight="1">
      <x:c r="A86" s="26" t="str">
        <x:f>IF('迁盟总表'!B183="","",'迁盟总表'!B183)</x:f>
        <x:v>嘤熊小号</x:v>
      </x:c>
      <x:c r="B86" s="27" t="str">
        <x:f>IF('迁盟总表'!C183="","",'迁盟总表'!C183)</x:f>
        <x:v>花晨</x:v>
      </x:c>
      <x:c r="C86" s="61" t="str">
        <x:f>IF('迁盟总表'!D183="","",'迁盟总表'!D183)</x:f>
        <x:v>花晨</x:v>
      </x:c>
      <x:c r="D86" s="27" t="str">
        <x:f>IF('迁盟总表'!E183="","",'迁盟总表'!E183)</x:f>
        <x:v>留盟</x:v>
      </x:c>
      <x:c r="E86" s="40" t="n">
        <x:f>IF('迁盟总表'!Q183="","",'迁盟总表'!Q183)</x:f>
        <x:v>2674485644</x:v>
      </x:c>
      <x:c r="F86" s="40" t="n">
        <x:f>IF('迁盟总表'!R183="","",'迁盟总表'!R183)</x:f>
        <x:v>64886169</x:v>
      </x:c>
      <x:c r="G86" s="40" t="n">
        <x:f>IF('迁盟总表'!S183="","",'迁盟总表'!S183)</x:f>
        <x:v>173806552</x:v>
      </x:c>
      <x:c r="H86" s="37" t="n">
        <x:f>IF('迁盟总表'!H183="","",'迁盟总表'!H183)</x:f>
        <x:v>25.9</x:v>
      </x:c>
      <x:c r="I86" s="37" t="n">
        <x:f>IF('迁盟总表'!I183="","",'迁盟总表'!I183)</x:f>
        <x:v>25.9</x:v>
      </x:c>
      <x:c r="J86" s="40" t="n">
        <x:f>IF('迁盟总表'!J183="","",'迁盟总表'!J183)</x:f>
        <x:v>638</x:v>
      </x:c>
      <x:c r="K86" s="40" t="n">
        <x:f>IF('迁盟总表'!K183="","",'迁盟总表'!K183)</x:f>
        <x:v>600</x:v>
      </x:c>
      <x:c r="L86" s="40" t="n">
        <x:f>IF('迁盟总表'!L183="","",'迁盟总表'!L183)</x:f>
        <x:v>541</x:v>
      </x:c>
      <x:c r="M86" s="40" t="n">
        <x:f>IF('迁盟总表'!M183="","",'迁盟总表'!M183)</x:f>
        <x:v>430</x:v>
      </x:c>
      <x:c r="N86" s="40" t="n">
        <x:f>IF('迁盟总表'!N183="","",'迁盟总表'!N183)</x:f>
        <x:v>634</x:v>
      </x:c>
      <x:c r="O86" s="40" t="n">
        <x:f>IF('迁盟总表'!O183="","",'迁盟总表'!O183)</x:f>
        <x:v>628</x:v>
      </x:c>
      <x:c r="P86" s="40" t="n">
        <x:f>IF('迁盟总表'!P183="","",'迁盟总表'!P183)</x:f>
        <x:v>3471</x:v>
      </x:c>
      <x:c r="Q86" s="43" t="n">
        <x:f>IF('迁盟总表'!X183="","",'迁盟总表'!X183)</x:f>
        <x:v>64.4</x:v>
      </x:c>
      <x:c r="R86" s="27" t="n">
        <x:f>IF('迁盟总表'!Y183="","",'迁盟总表'!Y183)</x:f>
        <x:v>262</x:v>
      </x:c>
      <x:c r="S86" s="55" t="str">
        <x:f>IF('迁盟总表'!Z183="","",'迁盟总表'!Z183)</x:f>
        <x:v>保持当前盟，减少迁移成本</x:v>
      </x:c>
    </x:row>
    <x:row r="87" ht="20" customHeight="1">
      <x:c r="A87" s="26" t="str">
        <x:f>IF('迁盟总表'!B184="","",'迁盟总表'!B184)</x:f>
        <x:v>白杆杆</x:v>
      </x:c>
      <x:c r="B87" s="27" t="str">
        <x:f>IF('迁盟总表'!C184="","",'迁盟总表'!C184)</x:f>
        <x:v>花晨</x:v>
      </x:c>
      <x:c r="C87" s="61" t="str">
        <x:f>IF('迁盟总表'!D184="","",'迁盟总表'!D184)</x:f>
        <x:v>花晨</x:v>
      </x:c>
      <x:c r="D87" s="27" t="str">
        <x:f>IF('迁盟总表'!E184="","",'迁盟总表'!E184)</x:f>
        <x:v>留盟</x:v>
      </x:c>
      <x:c r="E87" s="40" t="n">
        <x:f>IF('迁盟总表'!Q184="","",'迁盟总表'!Q184)</x:f>
        <x:v>280566500</x:v>
      </x:c>
      <x:c r="F87" s="40" t="n">
        <x:f>IF('迁盟总表'!R184="","",'迁盟总表'!R184)</x:f>
        <x:v>68647264</x:v>
      </x:c>
      <x:c r="G87" s="40" t="n">
        <x:f>IF('迁盟总表'!S184="","",'迁盟总表'!S184)</x:f>
        <x:v>237124658</x:v>
      </x:c>
      <x:c r="H87" s="37" t="str">
        <x:f>IF('迁盟总表'!H184="","",'迁盟总表'!H184)</x:f>
      </x:c>
      <x:c r="I87" s="37" t="str">
        <x:f>IF('迁盟总表'!I184="","",'迁盟总表'!I184)</x:f>
      </x:c>
      <x:c r="J87" s="40" t="str">
        <x:f>IF('迁盟总表'!J184="","",'迁盟总表'!J184)</x:f>
      </x:c>
      <x:c r="K87" s="40" t="str">
        <x:f>IF('迁盟总表'!K184="","",'迁盟总表'!K184)</x:f>
      </x:c>
      <x:c r="L87" s="40" t="str">
        <x:f>IF('迁盟总表'!L184="","",'迁盟总表'!L184)</x:f>
      </x:c>
      <x:c r="M87" s="40" t="str">
        <x:f>IF('迁盟总表'!M184="","",'迁盟总表'!M184)</x:f>
      </x:c>
      <x:c r="N87" s="40" t="str">
        <x:f>IF('迁盟总表'!N184="","",'迁盟总表'!N184)</x:f>
      </x:c>
      <x:c r="O87" s="40" t="str">
        <x:f>IF('迁盟总表'!O184="","",'迁盟总表'!O184)</x:f>
      </x:c>
      <x:c r="P87" s="40" t="str">
        <x:f>IF('迁盟总表'!P184="","",'迁盟总表'!P184)</x:f>
      </x:c>
      <x:c r="Q87" s="43" t="n">
        <x:f>IF('迁盟总表'!X184="","",'迁盟总表'!X184)</x:f>
        <x:v>64.4</x:v>
      </x:c>
      <x:c r="R87" s="27" t="n">
        <x:f>IF('迁盟总表'!Y184="","",'迁盟总表'!Y184)</x:f>
        <x:v>262</x:v>
      </x:c>
      <x:c r="S87" s="55" t="str">
        <x:f>IF('迁盟总表'!Z184="","",'迁盟总表'!Z184)</x:f>
        <x:v>保持当前盟，减少迁移成本</x:v>
      </x:c>
    </x:row>
    <x:row r="88" ht="20" customHeight="1">
      <x:c r="A88" s="26" t="str">
        <x:f>IF('迁盟总表'!B185="","",'迁盟总表'!B185)</x:f>
        <x:v>青禾嗲</x:v>
      </x:c>
      <x:c r="B88" s="27" t="str">
        <x:f>IF('迁盟总表'!C185="","",'迁盟总表'!C185)</x:f>
        <x:v>花晨</x:v>
      </x:c>
      <x:c r="C88" s="61" t="str">
        <x:f>IF('迁盟总表'!D185="","",'迁盟总表'!D185)</x:f>
        <x:v>花晨</x:v>
      </x:c>
      <x:c r="D88" s="27" t="str">
        <x:f>IF('迁盟总表'!E185="","",'迁盟总表'!E185)</x:f>
        <x:v>留盟</x:v>
      </x:c>
      <x:c r="E88" s="40" t="n">
        <x:f>IF('迁盟总表'!Q185="","",'迁盟总表'!Q185)</x:f>
        <x:v>2154098478</x:v>
      </x:c>
      <x:c r="F88" s="40" t="n">
        <x:f>IF('迁盟总表'!R185="","",'迁盟总表'!R185)</x:f>
        <x:v>64906314</x:v>
      </x:c>
      <x:c r="G88" s="40" t="n">
        <x:f>IF('迁盟总表'!S185="","",'迁盟总表'!S185)</x:f>
        <x:v>207418579</x:v>
      </x:c>
      <x:c r="H88" s="37" t="n">
        <x:f>IF('迁盟总表'!H185="","",'迁盟总表'!H185)</x:f>
        <x:v>26</x:v>
      </x:c>
      <x:c r="I88" s="37" t="n">
        <x:f>IF('迁盟总表'!I185="","",'迁盟总表'!I185)</x:f>
        <x:v>24.8</x:v>
      </x:c>
      <x:c r="J88" s="40" t="n">
        <x:f>IF('迁盟总表'!J185="","",'迁盟总表'!J185)</x:f>
        <x:v>570</x:v>
      </x:c>
      <x:c r="K88" s="40" t="n">
        <x:f>IF('迁盟总表'!K185="","",'迁盟总表'!K185)</x:f>
        <x:v>550</x:v>
      </x:c>
      <x:c r="L88" s="40" t="n">
        <x:f>IF('迁盟总表'!L185="","",'迁盟总表'!L185)</x:f>
        <x:v>600</x:v>
      </x:c>
      <x:c r="M88" s="40" t="n">
        <x:f>IF('迁盟总表'!M185="","",'迁盟总表'!M185)</x:f>
        <x:v>400</x:v>
      </x:c>
      <x:c r="N88" s="40" t="n">
        <x:f>IF('迁盟总表'!N185="","",'迁盟总表'!N185)</x:f>
        <x:v>598</x:v>
      </x:c>
      <x:c r="O88" s="40" t="n">
        <x:f>IF('迁盟总表'!O185="","",'迁盟总表'!O185)</x:f>
        <x:v>308</x:v>
      </x:c>
      <x:c r="P88" s="40" t="n">
        <x:f>IF('迁盟总表'!P185="","",'迁盟总表'!P185)</x:f>
        <x:v>3026</x:v>
      </x:c>
      <x:c r="Q88" s="43" t="n">
        <x:f>IF('迁盟总表'!X185="","",'迁盟总表'!X185)</x:f>
        <x:v>64.3</x:v>
      </x:c>
      <x:c r="R88" s="27" t="n">
        <x:f>IF('迁盟总表'!Y185="","",'迁盟总表'!Y185)</x:f>
        <x:v>265</x:v>
      </x:c>
      <x:c r="S88" s="55" t="str">
        <x:f>IF('迁盟总表'!Z185="","",'迁盟总表'!Z185)</x:f>
        <x:v>保持当前盟，减少迁移成本</x:v>
      </x:c>
    </x:row>
    <x:row r="89" ht="20" customHeight="1">
      <x:c r="A89" s="26" t="str">
        <x:f>IF('迁盟总表'!B186="","",'迁盟总表'!B186)</x:f>
        <x:v>无名英雄</x:v>
      </x:c>
      <x:c r="B89" s="27" t="str">
        <x:f>IF('迁盟总表'!C186="","",'迁盟总表'!C186)</x:f>
        <x:v>花晨</x:v>
      </x:c>
      <x:c r="C89" s="61" t="str">
        <x:f>IF('迁盟总表'!D186="","",'迁盟总表'!D186)</x:f>
        <x:v>花晨</x:v>
      </x:c>
      <x:c r="D89" s="27" t="str">
        <x:f>IF('迁盟总表'!E186="","",'迁盟总表'!E186)</x:f>
        <x:v>留盟</x:v>
      </x:c>
      <x:c r="E89" s="40" t="n">
        <x:f>IF('迁盟总表'!Q186="","",'迁盟总表'!Q186)</x:f>
        <x:v>177636424</x:v>
      </x:c>
      <x:c r="F89" s="40" t="n">
        <x:f>IF('迁盟总表'!R186="","",'迁盟总表'!R186)</x:f>
        <x:v>69877557</x:v>
      </x:c>
      <x:c r="G89" s="40" t="n">
        <x:f>IF('迁盟总表'!S186="","",'迁盟总表'!S186)</x:f>
        <x:v>234437612</x:v>
      </x:c>
      <x:c r="H89" s="37" t="str">
        <x:f>IF('迁盟总表'!H186="","",'迁盟总表'!H186)</x:f>
      </x:c>
      <x:c r="I89" s="37" t="str">
        <x:f>IF('迁盟总表'!I186="","",'迁盟总表'!I186)</x:f>
      </x:c>
      <x:c r="J89" s="40" t="str">
        <x:f>IF('迁盟总表'!J186="","",'迁盟总表'!J186)</x:f>
      </x:c>
      <x:c r="K89" s="40" t="str">
        <x:f>IF('迁盟总表'!K186="","",'迁盟总表'!K186)</x:f>
      </x:c>
      <x:c r="L89" s="40" t="str">
        <x:f>IF('迁盟总表'!L186="","",'迁盟总表'!L186)</x:f>
      </x:c>
      <x:c r="M89" s="40" t="str">
        <x:f>IF('迁盟总表'!M186="","",'迁盟总表'!M186)</x:f>
      </x:c>
      <x:c r="N89" s="40" t="str">
        <x:f>IF('迁盟总表'!N186="","",'迁盟总表'!N186)</x:f>
      </x:c>
      <x:c r="O89" s="40" t="str">
        <x:f>IF('迁盟总表'!O186="","",'迁盟总表'!O186)</x:f>
      </x:c>
      <x:c r="P89" s="40" t="str">
        <x:f>IF('迁盟总表'!P186="","",'迁盟总表'!P186)</x:f>
      </x:c>
      <x:c r="Q89" s="43" t="n">
        <x:f>IF('迁盟总表'!X186="","",'迁盟总表'!X186)</x:f>
        <x:v>63.8</x:v>
      </x:c>
      <x:c r="R89" s="27" t="n">
        <x:f>IF('迁盟总表'!Y186="","",'迁盟总表'!Y186)</x:f>
        <x:v>268</x:v>
      </x:c>
      <x:c r="S89" s="55" t="str">
        <x:f>IF('迁盟总表'!Z186="","",'迁盟总表'!Z186)</x:f>
        <x:v>保持当前盟，减少迁移成本</x:v>
      </x:c>
    </x:row>
    <x:row r="90" ht="20" customHeight="1">
      <x:c r="A90" s="26" t="str">
        <x:f>IF('迁盟总表'!B187="","",'迁盟总表'!B187)</x:f>
        <x:v>歪歪歪</x:v>
      </x:c>
      <x:c r="B90" s="27" t="str">
        <x:f>IF('迁盟总表'!C187="","",'迁盟总表'!C187)</x:f>
        <x:v>花晨</x:v>
      </x:c>
      <x:c r="C90" s="61" t="str">
        <x:f>IF('迁盟总表'!D187="","",'迁盟总表'!D187)</x:f>
        <x:v>花晨</x:v>
      </x:c>
      <x:c r="D90" s="27" t="str">
        <x:f>IF('迁盟总表'!E187="","",'迁盟总表'!E187)</x:f>
        <x:v>留盟</x:v>
      </x:c>
      <x:c r="E90" s="40" t="n">
        <x:f>IF('迁盟总表'!Q187="","",'迁盟总表'!Q187)</x:f>
        <x:v>2578061976</x:v>
      </x:c>
      <x:c r="F90" s="40" t="n">
        <x:f>IF('迁盟总表'!R187="","",'迁盟总表'!R187)</x:f>
        <x:v>57863400</x:v>
      </x:c>
      <x:c r="G90" s="40" t="n">
        <x:f>IF('迁盟总表'!S187="","",'迁盟总表'!S187)</x:f>
        <x:v>173379742</x:v>
      </x:c>
      <x:c r="H90" s="37" t="str">
        <x:f>IF('迁盟总表'!H187="","",'迁盟总表'!H187)</x:f>
      </x:c>
      <x:c r="I90" s="37" t="str">
        <x:f>IF('迁盟总表'!I187="","",'迁盟总表'!I187)</x:f>
      </x:c>
      <x:c r="J90" s="40" t="str">
        <x:f>IF('迁盟总表'!J187="","",'迁盟总表'!J187)</x:f>
      </x:c>
      <x:c r="K90" s="40" t="str">
        <x:f>IF('迁盟总表'!K187="","",'迁盟总表'!K187)</x:f>
      </x:c>
      <x:c r="L90" s="40" t="str">
        <x:f>IF('迁盟总表'!L187="","",'迁盟总表'!L187)</x:f>
      </x:c>
      <x:c r="M90" s="40" t="str">
        <x:f>IF('迁盟总表'!M187="","",'迁盟总表'!M187)</x:f>
      </x:c>
      <x:c r="N90" s="40" t="str">
        <x:f>IF('迁盟总表'!N187="","",'迁盟总表'!N187)</x:f>
      </x:c>
      <x:c r="O90" s="40" t="str">
        <x:f>IF('迁盟总表'!O187="","",'迁盟总表'!O187)</x:f>
      </x:c>
      <x:c r="P90" s="40" t="str">
        <x:f>IF('迁盟总表'!P187="","",'迁盟总表'!P187)</x:f>
      </x:c>
      <x:c r="Q90" s="43" t="n">
        <x:f>IF('迁盟总表'!X187="","",'迁盟总表'!X187)</x:f>
        <x:v>63.5</x:v>
      </x:c>
      <x:c r="R90" s="27" t="n">
        <x:f>IF('迁盟总表'!Y187="","",'迁盟总表'!Y187)</x:f>
        <x:v>269</x:v>
      </x:c>
      <x:c r="S90" s="55" t="str">
        <x:f>IF('迁盟总表'!Z187="","",'迁盟总表'!Z187)</x:f>
        <x:v>保持当前盟，减少迁移成本</x:v>
      </x:c>
    </x:row>
    <x:row r="91" ht="20" customHeight="1">
      <x:c r="A91" s="26" t="str">
        <x:f>IF('迁盟总表'!B188="","",'迁盟总表'!B188)</x:f>
        <x:v>春秋之王</x:v>
      </x:c>
      <x:c r="B91" s="27" t="str">
        <x:f>IF('迁盟总表'!C188="","",'迁盟总表'!C188)</x:f>
        <x:v>花晨</x:v>
      </x:c>
      <x:c r="C91" s="61" t="str">
        <x:f>IF('迁盟总表'!D188="","",'迁盟总表'!D188)</x:f>
        <x:v>花晨</x:v>
      </x:c>
      <x:c r="D91" s="27" t="str">
        <x:f>IF('迁盟总表'!E188="","",'迁盟总表'!E188)</x:f>
        <x:v>留盟</x:v>
      </x:c>
      <x:c r="E91" s="40" t="n">
        <x:f>IF('迁盟总表'!Q188="","",'迁盟总表'!Q188)</x:f>
        <x:v>37387224</x:v>
      </x:c>
      <x:c r="F91" s="40" t="n">
        <x:f>IF('迁盟总表'!R188="","",'迁盟总表'!R188)</x:f>
        <x:v>76334235</x:v>
      </x:c>
      <x:c r="G91" s="40" t="n">
        <x:f>IF('迁盟总表'!S188="","",'迁盟总表'!S188)</x:f>
        <x:v>239827606</x:v>
      </x:c>
      <x:c r="H91" s="37" t="str">
        <x:f>IF('迁盟总表'!H188="","",'迁盟总表'!H188)</x:f>
      </x:c>
      <x:c r="I91" s="37" t="str">
        <x:f>IF('迁盟总表'!I188="","",'迁盟总表'!I188)</x:f>
      </x:c>
      <x:c r="J91" s="40" t="str">
        <x:f>IF('迁盟总表'!J188="","",'迁盟总表'!J188)</x:f>
      </x:c>
      <x:c r="K91" s="40" t="str">
        <x:f>IF('迁盟总表'!K188="","",'迁盟总表'!K188)</x:f>
      </x:c>
      <x:c r="L91" s="40" t="str">
        <x:f>IF('迁盟总表'!L188="","",'迁盟总表'!L188)</x:f>
      </x:c>
      <x:c r="M91" s="40" t="str">
        <x:f>IF('迁盟总表'!M188="","",'迁盟总表'!M188)</x:f>
      </x:c>
      <x:c r="N91" s="40" t="str">
        <x:f>IF('迁盟总表'!N188="","",'迁盟总表'!N188)</x:f>
      </x:c>
      <x:c r="O91" s="40" t="str">
        <x:f>IF('迁盟总表'!O188="","",'迁盟总表'!O188)</x:f>
      </x:c>
      <x:c r="P91" s="40" t="str">
        <x:f>IF('迁盟总表'!P188="","",'迁盟总表'!P188)</x:f>
      </x:c>
      <x:c r="Q91" s="43" t="n">
        <x:f>IF('迁盟总表'!X188="","",'迁盟总表'!X188)</x:f>
        <x:v>62.9</x:v>
      </x:c>
      <x:c r="R91" s="27" t="n">
        <x:f>IF('迁盟总表'!Y188="","",'迁盟总表'!Y188)</x:f>
        <x:v>273</x:v>
      </x:c>
      <x:c r="S91" s="55" t="str">
        <x:f>IF('迁盟总表'!Z188="","",'迁盟总表'!Z188)</x:f>
        <x:v>保持当前盟，减少迁移成本</x:v>
      </x:c>
    </x:row>
    <x:row r="92" ht="20" customHeight="1">
      <x:c r="A92" s="26" t="str">
        <x:f>IF('迁盟总表'!B189="","",'迁盟总表'!B189)</x:f>
        <x:v>战地情怀</x:v>
      </x:c>
      <x:c r="B92" s="27" t="str">
        <x:f>IF('迁盟总表'!C189="","",'迁盟总表'!C189)</x:f>
        <x:v>花晨</x:v>
      </x:c>
      <x:c r="C92" s="61" t="str">
        <x:f>IF('迁盟总表'!D189="","",'迁盟总表'!D189)</x:f>
        <x:v>花晨</x:v>
      </x:c>
      <x:c r="D92" s="27" t="str">
        <x:f>IF('迁盟总表'!E189="","",'迁盟总表'!E189)</x:f>
        <x:v>留盟</x:v>
      </x:c>
      <x:c r="E92" s="40" t="n">
        <x:f>IF('迁盟总表'!Q189="","",'迁盟总表'!Q189)</x:f>
        <x:v>1143049876</x:v>
      </x:c>
      <x:c r="F92" s="40" t="n">
        <x:f>IF('迁盟总表'!R189="","",'迁盟总表'!R189)</x:f>
        <x:v>65220812</x:v>
      </x:c>
      <x:c r="G92" s="40" t="n">
        <x:f>IF('迁盟总表'!S189="","",'迁盟总表'!S189)</x:f>
        <x:v>184017501</x:v>
      </x:c>
      <x:c r="H92" s="37" t="n">
        <x:f>IF('迁盟总表'!H189="","",'迁盟总表'!H189)</x:f>
        <x:v>23.3</x:v>
      </x:c>
      <x:c r="I92" s="37" t="n">
        <x:f>IF('迁盟总表'!I189="","",'迁盟总表'!I189)</x:f>
        <x:v>23.3</x:v>
      </x:c>
      <x:c r="J92" s="40" t="n">
        <x:f>IF('迁盟总表'!J189="","",'迁盟总表'!J189)</x:f>
        <x:v>601</x:v>
      </x:c>
      <x:c r="K92" s="40" t="n">
        <x:f>IF('迁盟总表'!K189="","",'迁盟总表'!K189)</x:f>
        <x:v>552</x:v>
      </x:c>
      <x:c r="L92" s="40" t="n">
        <x:f>IF('迁盟总表'!L189="","",'迁盟总表'!L189)</x:f>
        <x:v>547</x:v>
      </x:c>
      <x:c r="M92" s="40" t="n">
        <x:f>IF('迁盟总表'!M189="","",'迁盟总表'!M189)</x:f>
        <x:v>281</x:v>
      </x:c>
      <x:c r="N92" s="40" t="n">
        <x:f>IF('迁盟总表'!N189="","",'迁盟总表'!N189)</x:f>
        <x:v>566</x:v>
      </x:c>
      <x:c r="O92" s="40" t="n">
        <x:f>IF('迁盟总表'!O189="","",'迁盟总表'!O189)</x:f>
        <x:v>463</x:v>
      </x:c>
      <x:c r="P92" s="40" t="n">
        <x:f>IF('迁盟总表'!P189="","",'迁盟总表'!P189)</x:f>
        <x:v>3010</x:v>
      </x:c>
      <x:c r="Q92" s="43" t="n">
        <x:f>IF('迁盟总表'!X189="","",'迁盟总表'!X189)</x:f>
        <x:v>62.6</x:v>
      </x:c>
      <x:c r="R92" s="27" t="n">
        <x:f>IF('迁盟总表'!Y189="","",'迁盟总表'!Y189)</x:f>
        <x:v>275</x:v>
      </x:c>
      <x:c r="S92" s="55" t="str">
        <x:f>IF('迁盟总表'!Z189="","",'迁盟总表'!Z189)</x:f>
        <x:v>保持当前盟，减少迁移成本</x:v>
      </x:c>
    </x:row>
    <x:row r="93" ht="20" customHeight="1">
      <x:c r="A93" s="26" t="str">
        <x:f>IF('迁盟总表'!B190="","",'迁盟总表'!B190)</x:f>
        <x:v>青云山</x:v>
      </x:c>
      <x:c r="B93" s="27" t="str">
        <x:f>IF('迁盟总表'!C190="","",'迁盟总表'!C190)</x:f>
        <x:v>花晨</x:v>
      </x:c>
      <x:c r="C93" s="61" t="str">
        <x:f>IF('迁盟总表'!D190="","",'迁盟总表'!D190)</x:f>
        <x:v>花晨</x:v>
      </x:c>
      <x:c r="D93" s="27" t="str">
        <x:f>IF('迁盟总表'!E190="","",'迁盟总表'!E190)</x:f>
        <x:v>留盟</x:v>
      </x:c>
      <x:c r="E93" s="40" t="n">
        <x:f>IF('迁盟总表'!Q190="","",'迁盟总表'!Q190)</x:f>
        <x:v>2010265182</x:v>
      </x:c>
      <x:c r="F93" s="40" t="n">
        <x:f>IF('迁盟总表'!R190="","",'迁盟总表'!R190)</x:f>
        <x:v>56157616</x:v>
      </x:c>
      <x:c r="G93" s="40" t="n">
        <x:f>IF('迁盟总表'!S190="","",'迁盟总表'!S190)</x:f>
        <x:v>160153698</x:v>
      </x:c>
      <x:c r="H93" s="37" t="str">
        <x:f>IF('迁盟总表'!H190="","",'迁盟总表'!H190)</x:f>
      </x:c>
      <x:c r="I93" s="37" t="str">
        <x:f>IF('迁盟总表'!I190="","",'迁盟总表'!I190)</x:f>
      </x:c>
      <x:c r="J93" s="40" t="str">
        <x:f>IF('迁盟总表'!J190="","",'迁盟总表'!J190)</x:f>
      </x:c>
      <x:c r="K93" s="40" t="str">
        <x:f>IF('迁盟总表'!K190="","",'迁盟总表'!K190)</x:f>
      </x:c>
      <x:c r="L93" s="40" t="str">
        <x:f>IF('迁盟总表'!L190="","",'迁盟总表'!L190)</x:f>
      </x:c>
      <x:c r="M93" s="40" t="str">
        <x:f>IF('迁盟总表'!M190="","",'迁盟总表'!M190)</x:f>
      </x:c>
      <x:c r="N93" s="40" t="str">
        <x:f>IF('迁盟总表'!N190="","",'迁盟总表'!N190)</x:f>
      </x:c>
      <x:c r="O93" s="40" t="str">
        <x:f>IF('迁盟总表'!O190="","",'迁盟总表'!O190)</x:f>
      </x:c>
      <x:c r="P93" s="40" t="str">
        <x:f>IF('迁盟总表'!P190="","",'迁盟总表'!P190)</x:f>
      </x:c>
      <x:c r="Q93" s="43" t="n">
        <x:f>IF('迁盟总表'!X190="","",'迁盟总表'!X190)</x:f>
        <x:v>62.1</x:v>
      </x:c>
      <x:c r="R93" s="27" t="n">
        <x:f>IF('迁盟总表'!Y190="","",'迁盟总表'!Y190)</x:f>
        <x:v>279</x:v>
      </x:c>
      <x:c r="S93" s="55" t="str">
        <x:f>IF('迁盟总表'!Z190="","",'迁盟总表'!Z190)</x:f>
        <x:v>保持当前盟，减少迁移成本</x:v>
      </x:c>
    </x:row>
    <x:row r="94" ht="20" customHeight="1">
      <x:c r="A94" s="26" t="str">
        <x:f>IF('迁盟总表'!B191="","",'迁盟总表'!B191)</x:f>
        <x:v>梦求真</x:v>
      </x:c>
      <x:c r="B94" s="27" t="str">
        <x:f>IF('迁盟总表'!C191="","",'迁盟总表'!C191)</x:f>
        <x:v>花晨</x:v>
      </x:c>
      <x:c r="C94" s="61" t="str">
        <x:f>IF('迁盟总表'!D191="","",'迁盟总表'!D191)</x:f>
        <x:v>花晨</x:v>
      </x:c>
      <x:c r="D94" s="27" t="str">
        <x:f>IF('迁盟总表'!E191="","",'迁盟总表'!E191)</x:f>
        <x:v>留盟</x:v>
      </x:c>
      <x:c r="E94" s="40" t="n">
        <x:f>IF('迁盟总表'!Q191="","",'迁盟总表'!Q191)</x:f>
        <x:v>114684350</x:v>
      </x:c>
      <x:c r="F94" s="40" t="n">
        <x:f>IF('迁盟总表'!R191="","",'迁盟总表'!R191)</x:f>
        <x:v>70205572</x:v>
      </x:c>
      <x:c r="G94" s="40" t="n">
        <x:f>IF('迁盟总表'!S191="","",'迁盟总表'!S191)</x:f>
        <x:v>202669865</x:v>
      </x:c>
      <x:c r="H94" s="37" t="str">
        <x:f>IF('迁盟总表'!H191="","",'迁盟总表'!H191)</x:f>
      </x:c>
      <x:c r="I94" s="37" t="str">
        <x:f>IF('迁盟总表'!I191="","",'迁盟总表'!I191)</x:f>
      </x:c>
      <x:c r="J94" s="40" t="str">
        <x:f>IF('迁盟总表'!J191="","",'迁盟总表'!J191)</x:f>
      </x:c>
      <x:c r="K94" s="40" t="str">
        <x:f>IF('迁盟总表'!K191="","",'迁盟总表'!K191)</x:f>
      </x:c>
      <x:c r="L94" s="40" t="str">
        <x:f>IF('迁盟总表'!L191="","",'迁盟总表'!L191)</x:f>
      </x:c>
      <x:c r="M94" s="40" t="str">
        <x:f>IF('迁盟总表'!M191="","",'迁盟总表'!M191)</x:f>
      </x:c>
      <x:c r="N94" s="40" t="str">
        <x:f>IF('迁盟总表'!N191="","",'迁盟总表'!N191)</x:f>
      </x:c>
      <x:c r="O94" s="40" t="str">
        <x:f>IF('迁盟总表'!O191="","",'迁盟总表'!O191)</x:f>
      </x:c>
      <x:c r="P94" s="40" t="str">
        <x:f>IF('迁盟总表'!P191="","",'迁盟总表'!P191)</x:f>
      </x:c>
      <x:c r="Q94" s="43" t="n">
        <x:f>IF('迁盟总表'!X191="","",'迁盟总表'!X191)</x:f>
        <x:v>62</x:v>
      </x:c>
      <x:c r="R94" s="27" t="n">
        <x:f>IF('迁盟总表'!Y191="","",'迁盟总表'!Y191)</x:f>
        <x:v>280</x:v>
      </x:c>
      <x:c r="S94" s="55" t="str">
        <x:f>IF('迁盟总表'!Z191="","",'迁盟总表'!Z191)</x:f>
        <x:v>保持当前盟，减少迁移成本</x:v>
      </x:c>
    </x:row>
    <x:row r="95" ht="20" customHeight="1">
      <x:c r="A95" s="26" t="str">
        <x:f>IF('迁盟总表'!B192="","",'迁盟总表'!B192)</x:f>
        <x:v>小草莓</x:v>
      </x:c>
      <x:c r="B95" s="27" t="str">
        <x:f>IF('迁盟总表'!C192="","",'迁盟总表'!C192)</x:f>
        <x:v>花晨</x:v>
      </x:c>
      <x:c r="C95" s="61" t="str">
        <x:f>IF('迁盟总表'!D192="","",'迁盟总表'!D192)</x:f>
        <x:v>花晨</x:v>
      </x:c>
      <x:c r="D95" s="27" t="str">
        <x:f>IF('迁盟总表'!E192="","",'迁盟总表'!E192)</x:f>
        <x:v>留盟</x:v>
      </x:c>
      <x:c r="E95" s="40" t="n">
        <x:f>IF('迁盟总表'!Q192="","",'迁盟总表'!Q192)</x:f>
        <x:v>1513233280</x:v>
      </x:c>
      <x:c r="F95" s="40" t="n">
        <x:f>IF('迁盟总表'!R192="","",'迁盟总表'!R192)</x:f>
        <x:v>60847468</x:v>
      </x:c>
      <x:c r="G95" s="40" t="n">
        <x:f>IF('迁盟总表'!S192="","",'迁盟总表'!S192)</x:f>
        <x:v>185508298</x:v>
      </x:c>
      <x:c r="H95" s="37" t="n">
        <x:f>IF('迁盟总表'!H192="","",'迁盟总表'!H192)</x:f>
        <x:v>23.7</x:v>
      </x:c>
      <x:c r="I95" s="37" t="n">
        <x:f>IF('迁盟总表'!I192="","",'迁盟总表'!I192)</x:f>
        <x:v>23.7</x:v>
      </x:c>
      <x:c r="J95" s="40" t="n">
        <x:f>IF('迁盟总表'!J192="","",'迁盟总表'!J192)</x:f>
        <x:v>599</x:v>
      </x:c>
      <x:c r="K95" s="40" t="n">
        <x:f>IF('迁盟总表'!K192="","",'迁盟总表'!K192)</x:f>
        <x:v>450</x:v>
      </x:c>
      <x:c r="L95" s="40" t="n">
        <x:f>IF('迁盟总表'!L192="","",'迁盟总表'!L192)</x:f>
        <x:v>520</x:v>
      </x:c>
      <x:c r="M95" s="40" t="n">
        <x:f>IF('迁盟总表'!M192="","",'迁盟总表'!M192)</x:f>
        <x:v>211</x:v>
      </x:c>
      <x:c r="N95" s="40" t="n">
        <x:f>IF('迁盟总表'!N192="","",'迁盟总表'!N192)</x:f>
        <x:v>596</x:v>
      </x:c>
      <x:c r="O95" s="40" t="n">
        <x:f>IF('迁盟总表'!O192="","",'迁盟总表'!O192)</x:f>
        <x:v>465</x:v>
      </x:c>
      <x:c r="P95" s="40" t="n">
        <x:f>IF('迁盟总表'!P192="","",'迁盟总表'!P192)</x:f>
        <x:v>2841</x:v>
      </x:c>
      <x:c r="Q95" s="43" t="n">
        <x:f>IF('迁盟总表'!X192="","",'迁盟总表'!X192)</x:f>
        <x:v>61.8</x:v>
      </x:c>
      <x:c r="R95" s="27" t="n">
        <x:f>IF('迁盟总表'!Y192="","",'迁盟总表'!Y192)</x:f>
        <x:v>281</x:v>
      </x:c>
      <x:c r="S95" s="55" t="str">
        <x:f>IF('迁盟总表'!Z192="","",'迁盟总表'!Z192)</x:f>
        <x:v>保持当前盟，减少迁移成本</x:v>
      </x:c>
    </x:row>
    <x:row r="96" ht="20" customHeight="1">
      <x:c r="A96" s="26" t="str">
        <x:f>IF('迁盟总表'!B193="","",'迁盟总表'!B193)</x:f>
        <x:v>清操厉冰雪</x:v>
      </x:c>
      <x:c r="B96" s="27" t="str">
        <x:f>IF('迁盟总表'!C193="","",'迁盟总表'!C193)</x:f>
        <x:v>花晨</x:v>
      </x:c>
      <x:c r="C96" s="61" t="str">
        <x:f>IF('迁盟总表'!D193="","",'迁盟总表'!D193)</x:f>
        <x:v>花晨</x:v>
      </x:c>
      <x:c r="D96" s="27" t="str">
        <x:f>IF('迁盟总表'!E193="","",'迁盟总表'!E193)</x:f>
        <x:v>留盟</x:v>
      </x:c>
      <x:c r="E96" s="40" t="n">
        <x:f>IF('迁盟总表'!Q193="","",'迁盟总表'!Q193)</x:f>
        <x:v>989987758</x:v>
      </x:c>
      <x:c r="F96" s="40" t="n">
        <x:f>IF('迁盟总表'!R193="","",'迁盟总表'!R193)</x:f>
        <x:v>57154080</x:v>
      </x:c>
      <x:c r="G96" s="40" t="n">
        <x:f>IF('迁盟总表'!S193="","",'迁盟总表'!S193)</x:f>
        <x:v>171049701</x:v>
      </x:c>
      <x:c r="H96" s="37" t="n">
        <x:f>IF('迁盟总表'!H193="","",'迁盟总表'!H193)</x:f>
        <x:v>23.44</x:v>
      </x:c>
      <x:c r="I96" s="37" t="str">
        <x:f>IF('迁盟总表'!I193="","",'迁盟总表'!I193)</x:f>
      </x:c>
      <x:c r="J96" s="40" t="n">
        <x:f>IF('迁盟总表'!J193="","",'迁盟总表'!J193)</x:f>
        <x:v>449</x:v>
      </x:c>
      <x:c r="K96" s="40" t="n">
        <x:f>IF('迁盟总表'!K193="","",'迁盟总表'!K193)</x:f>
        <x:v>335</x:v>
      </x:c>
      <x:c r="L96" s="40" t="n">
        <x:f>IF('迁盟总表'!L193="","",'迁盟总表'!L193)</x:f>
        <x:v>541</x:v>
      </x:c>
      <x:c r="M96" s="40" t="n">
        <x:f>IF('迁盟总表'!M193="","",'迁盟总表'!M193)</x:f>
        <x:v>351</x:v>
      </x:c>
      <x:c r="N96" s="40" t="n">
        <x:f>IF('迁盟总表'!N193="","",'迁盟总表'!N193)</x:f>
        <x:v>577</x:v>
      </x:c>
      <x:c r="O96" s="40" t="n">
        <x:f>IF('迁盟总表'!O193="","",'迁盟总表'!O193)</x:f>
        <x:v>301</x:v>
      </x:c>
      <x:c r="P96" s="40" t="n">
        <x:f>IF('迁盟总表'!P193="","",'迁盟总表'!P193)</x:f>
        <x:v>2554</x:v>
      </x:c>
      <x:c r="Q96" s="43" t="n">
        <x:f>IF('迁盟总表'!X193="","",'迁盟总表'!X193)</x:f>
        <x:v>59.2</x:v>
      </x:c>
      <x:c r="R96" s="27" t="n">
        <x:f>IF('迁盟总表'!Y193="","",'迁盟总表'!Y193)</x:f>
        <x:v>291</x:v>
      </x:c>
      <x:c r="S96" s="55" t="str">
        <x:f>IF('迁盟总表'!Z193="","",'迁盟总表'!Z193)</x:f>
        <x:v>保持当前盟，减少迁移成本</x:v>
      </x:c>
    </x:row>
    <x:row r="97" ht="20" customHeight="1">
      <x:c r="A97" s="26" t="str">
        <x:f>IF('迁盟总表'!B194="","",'迁盟总表'!B194)</x:f>
        <x:v>勇者归来</x:v>
      </x:c>
      <x:c r="B97" s="27" t="str">
        <x:f>IF('迁盟总表'!C194="","",'迁盟总表'!C194)</x:f>
        <x:v>花晨</x:v>
      </x:c>
      <x:c r="C97" s="61" t="str">
        <x:f>IF('迁盟总表'!D194="","",'迁盟总表'!D194)</x:f>
        <x:v>花晨</x:v>
      </x:c>
      <x:c r="D97" s="27" t="str">
        <x:f>IF('迁盟总表'!E194="","",'迁盟总表'!E194)</x:f>
        <x:v>留盟</x:v>
      </x:c>
      <x:c r="E97" s="40" t="n">
        <x:f>IF('迁盟总表'!Q194="","",'迁盟总表'!Q194)</x:f>
        <x:v>132431082</x:v>
      </x:c>
      <x:c r="F97" s="40" t="n">
        <x:f>IF('迁盟总表'!R194="","",'迁盟总表'!R194)</x:f>
        <x:v>59348536</x:v>
      </x:c>
      <x:c r="G97" s="40" t="n">
        <x:f>IF('迁盟总表'!S194="","",'迁盟总表'!S194)</x:f>
        <x:v>167402630</x:v>
      </x:c>
      <x:c r="H97" s="37" t="str">
        <x:f>IF('迁盟总表'!H194="","",'迁盟总表'!H194)</x:f>
      </x:c>
      <x:c r="I97" s="37" t="str">
        <x:f>IF('迁盟总表'!I194="","",'迁盟总表'!I194)</x:f>
      </x:c>
      <x:c r="J97" s="40" t="str">
        <x:f>IF('迁盟总表'!J194="","",'迁盟总表'!J194)</x:f>
      </x:c>
      <x:c r="K97" s="40" t="str">
        <x:f>IF('迁盟总表'!K194="","",'迁盟总表'!K194)</x:f>
      </x:c>
      <x:c r="L97" s="40" t="str">
        <x:f>IF('迁盟总表'!L194="","",'迁盟总表'!L194)</x:f>
      </x:c>
      <x:c r="M97" s="40" t="str">
        <x:f>IF('迁盟总表'!M194="","",'迁盟总表'!M194)</x:f>
      </x:c>
      <x:c r="N97" s="40" t="str">
        <x:f>IF('迁盟总表'!N194="","",'迁盟总表'!N194)</x:f>
      </x:c>
      <x:c r="O97" s="40" t="str">
        <x:f>IF('迁盟总表'!O194="","",'迁盟总表'!O194)</x:f>
      </x:c>
      <x:c r="P97" s="40" t="str">
        <x:f>IF('迁盟总表'!P194="","",'迁盟总表'!P194)</x:f>
      </x:c>
      <x:c r="Q97" s="43" t="n">
        <x:f>IF('迁盟总表'!X194="","",'迁盟总表'!X194)</x:f>
        <x:v>58</x:v>
      </x:c>
      <x:c r="R97" s="27" t="n">
        <x:f>IF('迁盟总表'!Y194="","",'迁盟总表'!Y194)</x:f>
        <x:v>295</x:v>
      </x:c>
      <x:c r="S97" s="55" t="str">
        <x:f>IF('迁盟总表'!Z194="","",'迁盟总表'!Z194)</x:f>
        <x:v>保持当前盟，减少迁移成本</x:v>
      </x:c>
    </x:row>
    <x:row r="98" ht="20" customHeight="1">
      <x:c r="A98" s="26" t="str">
        <x:f>IF('迁盟总表'!B195="","",'迁盟总表'!B195)</x:f>
        <x:v>月亮山的喵喵</x:v>
      </x:c>
      <x:c r="B98" s="27" t="str">
        <x:f>IF('迁盟总表'!C195="","",'迁盟总表'!C195)</x:f>
        <x:v>花晨</x:v>
      </x:c>
      <x:c r="C98" s="61" t="str">
        <x:f>IF('迁盟总表'!D195="","",'迁盟总表'!D195)</x:f>
        <x:v>花晨</x:v>
      </x:c>
      <x:c r="D98" s="27" t="str">
        <x:f>IF('迁盟总表'!E195="","",'迁盟总表'!E195)</x:f>
        <x:v>留盟</x:v>
      </x:c>
      <x:c r="E98" s="40" t="n">
        <x:f>IF('迁盟总表'!Q195="","",'迁盟总表'!Q195)</x:f>
        <x:v>146178894</x:v>
      </x:c>
      <x:c r="F98" s="40" t="n">
        <x:f>IF('迁盟总表'!R195="","",'迁盟总表'!R195)</x:f>
        <x:v>49433495</x:v>
      </x:c>
      <x:c r="G98" s="40" t="n">
        <x:f>IF('迁盟总表'!S195="","",'迁盟总表'!S195)</x:f>
        <x:v>112576232</x:v>
      </x:c>
      <x:c r="H98" s="37" t="str">
        <x:f>IF('迁盟总表'!H195="","",'迁盟总表'!H195)</x:f>
      </x:c>
      <x:c r="I98" s="37" t="str">
        <x:f>IF('迁盟总表'!I195="","",'迁盟总表'!I195)</x:f>
      </x:c>
      <x:c r="J98" s="40" t="str">
        <x:f>IF('迁盟总表'!J195="","",'迁盟总表'!J195)</x:f>
      </x:c>
      <x:c r="K98" s="40" t="str">
        <x:f>IF('迁盟总表'!K195="","",'迁盟总表'!K195)</x:f>
      </x:c>
      <x:c r="L98" s="40" t="str">
        <x:f>IF('迁盟总表'!L195="","",'迁盟总表'!L195)</x:f>
      </x:c>
      <x:c r="M98" s="40" t="str">
        <x:f>IF('迁盟总表'!M195="","",'迁盟总表'!M195)</x:f>
      </x:c>
      <x:c r="N98" s="40" t="str">
        <x:f>IF('迁盟总表'!N195="","",'迁盟总表'!N195)</x:f>
      </x:c>
      <x:c r="O98" s="40" t="str">
        <x:f>IF('迁盟总表'!O195="","",'迁盟总表'!O195)</x:f>
      </x:c>
      <x:c r="P98" s="40" t="str">
        <x:f>IF('迁盟总表'!P195="","",'迁盟总表'!P195)</x:f>
      </x:c>
      <x:c r="Q98" s="43" t="n">
        <x:f>IF('迁盟总表'!X195="","",'迁盟总表'!X195)</x:f>
        <x:v>53.6</x:v>
      </x:c>
      <x:c r="R98" s="27" t="n">
        <x:f>IF('迁盟总表'!Y195="","",'迁盟总表'!Y195)</x:f>
        <x:v>301</x:v>
      </x:c>
      <x:c r="S98" s="55" t="str">
        <x:f>IF('迁盟总表'!Z195="","",'迁盟总表'!Z195)</x:f>
        <x:v>保持当前盟，减少迁移成本</x:v>
      </x:c>
    </x:row>
    <x:row r="99" ht="20" customHeight="1">
      <x:c r="A99" s="26" t="str">
        <x:f>IF('迁盟总表'!B196="","",'迁盟总表'!B196)</x:f>
        <x:v>粉扑扑</x:v>
      </x:c>
      <x:c r="B99" s="27" t="str">
        <x:f>IF('迁盟总表'!C196="","",'迁盟总表'!C196)</x:f>
        <x:v>花晨</x:v>
      </x:c>
      <x:c r="C99" s="61" t="str">
        <x:f>IF('迁盟总表'!D196="","",'迁盟总表'!D196)</x:f>
        <x:v>花晨</x:v>
      </x:c>
      <x:c r="D99" s="27" t="str">
        <x:f>IF('迁盟总表'!E196="","",'迁盟总表'!E196)</x:f>
        <x:v>留盟</x:v>
      </x:c>
      <x:c r="E99" s="40" t="str">
        <x:f>IF('迁盟总表'!Q196="","",'迁盟总表'!Q196)</x:f>
      </x:c>
      <x:c r="F99" s="40" t="n">
        <x:f>IF('迁盟总表'!R196="","",'迁盟总表'!R196)</x:f>
        <x:v>68869401</x:v>
      </x:c>
      <x:c r="G99" s="40" t="n">
        <x:f>IF('迁盟总表'!S196="","",'迁盟总表'!S196)</x:f>
        <x:v>176679137</x:v>
      </x:c>
      <x:c r="H99" s="37" t="str">
        <x:f>IF('迁盟总表'!H196="","",'迁盟总表'!H196)</x:f>
      </x:c>
      <x:c r="I99" s="37" t="str">
        <x:f>IF('迁盟总表'!I196="","",'迁盟总表'!I196)</x:f>
      </x:c>
      <x:c r="J99" s="40" t="str">
        <x:f>IF('迁盟总表'!J196="","",'迁盟总表'!J196)</x:f>
      </x:c>
      <x:c r="K99" s="40" t="str">
        <x:f>IF('迁盟总表'!K196="","",'迁盟总表'!K196)</x:f>
      </x:c>
      <x:c r="L99" s="40" t="str">
        <x:f>IF('迁盟总表'!L196="","",'迁盟总表'!L196)</x:f>
      </x:c>
      <x:c r="M99" s="40" t="str">
        <x:f>IF('迁盟总表'!M196="","",'迁盟总表'!M196)</x:f>
      </x:c>
      <x:c r="N99" s="40" t="str">
        <x:f>IF('迁盟总表'!N196="","",'迁盟总表'!N196)</x:f>
      </x:c>
      <x:c r="O99" s="40" t="str">
        <x:f>IF('迁盟总表'!O196="","",'迁盟总表'!O196)</x:f>
      </x:c>
      <x:c r="P99" s="40" t="str">
        <x:f>IF('迁盟总表'!P196="","",'迁盟总表'!P196)</x:f>
      </x:c>
      <x:c r="Q99" s="43" t="n">
        <x:f>IF('迁盟总表'!X196="","",'迁盟总表'!X196)</x:f>
        <x:v>25.5</x:v>
      </x:c>
      <x:c r="R99" s="27" t="n">
        <x:f>IF('迁盟总表'!Y196="","",'迁盟总表'!Y196)</x:f>
        <x:v>317</x:v>
      </x:c>
      <x:c r="S99" s="55" t="str">
        <x:f>IF('迁盟总表'!Z196="","",'迁盟总表'!Z196)</x:f>
        <x:v>保持当前盟，减少迁移成本</x:v>
      </x:c>
    </x:row>
    <x:row r="100" ht="20" customHeight="1">
      <x:c r="A100" s="26" t="str">
        <x:f>IF('迁盟总表'!B197="","",'迁盟总表'!B197)</x:f>
        <x:v>骑行者</x:v>
      </x:c>
      <x:c r="B100" s="27" t="str">
        <x:f>IF('迁盟总表'!C197="","",'迁盟总表'!C197)</x:f>
        <x:v>花晨</x:v>
      </x:c>
      <x:c r="C100" s="61" t="str">
        <x:f>IF('迁盟总表'!D197="","",'迁盟总表'!D197)</x:f>
        <x:v>花晨</x:v>
      </x:c>
      <x:c r="D100" s="27" t="str">
        <x:f>IF('迁盟总表'!E197="","",'迁盟总表'!E197)</x:f>
        <x:v>留盟</x:v>
      </x:c>
      <x:c r="E100" s="40" t="str">
        <x:f>IF('迁盟总表'!Q197="","",'迁盟总表'!Q197)</x:f>
      </x:c>
      <x:c r="F100" s="40" t="n">
        <x:f>IF('迁盟总表'!R197="","",'迁盟总表'!R197)</x:f>
        <x:v>70245696</x:v>
      </x:c>
      <x:c r="G100" s="40" t="n">
        <x:f>IF('迁盟总表'!S197="","",'迁盟总表'!S197)</x:f>
        <x:v>155084722</x:v>
      </x:c>
      <x:c r="H100" s="37" t="str">
        <x:f>IF('迁盟总表'!H197="","",'迁盟总表'!H197)</x:f>
      </x:c>
      <x:c r="I100" s="37" t="str">
        <x:f>IF('迁盟总表'!I197="","",'迁盟总表'!I197)</x:f>
      </x:c>
      <x:c r="J100" s="40" t="str">
        <x:f>IF('迁盟总表'!J197="","",'迁盟总表'!J197)</x:f>
      </x:c>
      <x:c r="K100" s="40" t="str">
        <x:f>IF('迁盟总表'!K197="","",'迁盟总表'!K197)</x:f>
      </x:c>
      <x:c r="L100" s="40" t="str">
        <x:f>IF('迁盟总表'!L197="","",'迁盟总表'!L197)</x:f>
      </x:c>
      <x:c r="M100" s="40" t="str">
        <x:f>IF('迁盟总表'!M197="","",'迁盟总表'!M197)</x:f>
      </x:c>
      <x:c r="N100" s="40" t="str">
        <x:f>IF('迁盟总表'!N197="","",'迁盟总表'!N197)</x:f>
      </x:c>
      <x:c r="O100" s="40" t="str">
        <x:f>IF('迁盟总表'!O197="","",'迁盟总表'!O197)</x:f>
      </x:c>
      <x:c r="P100" s="40" t="str">
        <x:f>IF('迁盟总表'!P197="","",'迁盟总表'!P197)</x:f>
      </x:c>
      <x:c r="Q100" s="43" t="n">
        <x:f>IF('迁盟总表'!X197="","",'迁盟总表'!X197)</x:f>
        <x:v>25.2</x:v>
      </x:c>
      <x:c r="R100" s="27" t="n">
        <x:f>IF('迁盟总表'!Y197="","",'迁盟总表'!Y197)</x:f>
        <x:v>318</x:v>
      </x:c>
      <x:c r="S100" s="55" t="str">
        <x:f>IF('迁盟总表'!Z197="","",'迁盟总表'!Z197)</x:f>
        <x:v>保持当前盟，减少迁移成本</x:v>
      </x:c>
    </x:row>
    <x:row r="101" ht="20" customHeight="1">
      <x:c r="A101" s="29" t="str">
        <x:f>IF('迁盟总表'!B198="","",'迁盟总表'!B198)</x:f>
        <x:v>春机盎然</x:v>
      </x:c>
      <x:c r="B101" s="30" t="str">
        <x:f>IF('迁盟总表'!C198="","",'迁盟总表'!C198)</x:f>
        <x:v>花晨</x:v>
      </x:c>
      <x:c r="C101" s="62" t="str">
        <x:f>IF('迁盟总表'!D198="","",'迁盟总表'!D198)</x:f>
        <x:v>花晨</x:v>
      </x:c>
      <x:c r="D101" s="30" t="str">
        <x:f>IF('迁盟总表'!E198="","",'迁盟总表'!E198)</x:f>
        <x:v>留盟</x:v>
      </x:c>
      <x:c r="E101" s="41" t="str">
        <x:f>IF('迁盟总表'!Q198="","",'迁盟总表'!Q198)</x:f>
      </x:c>
      <x:c r="F101" s="41" t="n">
        <x:f>IF('迁盟总表'!R198="","",'迁盟总表'!R198)</x:f>
        <x:v>59686928</x:v>
      </x:c>
      <x:c r="G101" s="41" t="n">
        <x:f>IF('迁盟总表'!S198="","",'迁盟总表'!S198)</x:f>
        <x:v>171457828</x:v>
      </x:c>
      <x:c r="H101" s="38" t="str">
        <x:f>IF('迁盟总表'!H198="","",'迁盟总表'!H198)</x:f>
      </x:c>
      <x:c r="I101" s="38" t="str">
        <x:f>IF('迁盟总表'!I198="","",'迁盟总表'!I198)</x:f>
      </x:c>
      <x:c r="J101" s="41" t="str">
        <x:f>IF('迁盟总表'!J198="","",'迁盟总表'!J198)</x:f>
      </x:c>
      <x:c r="K101" s="41" t="str">
        <x:f>IF('迁盟总表'!K198="","",'迁盟总表'!K198)</x:f>
      </x:c>
      <x:c r="L101" s="41" t="str">
        <x:f>IF('迁盟总表'!L198="","",'迁盟总表'!L198)</x:f>
      </x:c>
      <x:c r="M101" s="41" t="str">
        <x:f>IF('迁盟总表'!M198="","",'迁盟总表'!M198)</x:f>
      </x:c>
      <x:c r="N101" s="41" t="str">
        <x:f>IF('迁盟总表'!N198="","",'迁盟总表'!N198)</x:f>
      </x:c>
      <x:c r="O101" s="41" t="str">
        <x:f>IF('迁盟总表'!O198="","",'迁盟总表'!O198)</x:f>
      </x:c>
      <x:c r="P101" s="41" t="str">
        <x:f>IF('迁盟总表'!P198="","",'迁盟总表'!P198)</x:f>
      </x:c>
      <x:c r="Q101" s="44" t="n">
        <x:f>IF('迁盟总表'!X198="","",'迁盟总表'!X198)</x:f>
        <x:v>22.7</x:v>
      </x:c>
      <x:c r="R101" s="30" t="n">
        <x:f>IF('迁盟总表'!Y198="","",'迁盟总表'!Y198)</x:f>
        <x:v>320</x:v>
      </x:c>
      <x:c r="S101" s="56" t="str">
        <x:f>IF('迁盟总表'!Z198="","",'迁盟总表'!Z198)</x:f>
        <x:v>保持当前盟，减少迁移成本</x:v>
      </x:c>
    </x:row>
  </x:sheetData>
  <x:mergeCells>
    <x:mergeCell ref="A1:S1"/>
    <x:mergeCell ref="A2:S2"/>
  </x:mergeCells>
  <x:conditionalFormatting sqref="D5:D101">
    <x:cfRule type="containsText" dxfId="4" priority="1" operator="containsText" text="→"/>
  </x:conditionalFormatting>
  <x:pageMargins left="0.7" right="0.7" top="0.75" bottom="0.75" header="0.3" footer="0.3"/>
  <x:tableParts count="1">
    <x:tablePart xmlns:r="http://schemas.openxmlformats.org/officeDocument/2006/relationships" r:id="Rd9df3c25e9f241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5" hidden="0" customWidth="1"/>
    <x:col min="5" max="5" width="16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1" hidden="0" customWidth="1"/>
    <x:col min="17" max="17" width="11" hidden="0" customWidth="1"/>
    <x:col min="18" max="18" width="10" hidden="0" customWidth="1"/>
    <x:col min="19" max="19" width="38" hidden="0" customWidth="1"/>
  </x:cols>
  <x:sheetData>
    <x:row r="1" ht="30" customHeight="1">
      <x:c r="A1" s="3" t="str">
        <x:v>玲珑三盟｜97人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1" customHeight="1">
      <x:c r="A2" s="7" t="str">
        <x:v>稳定/种田盟：最大限度维持当前人员结构，兼顾原意向。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2" customHeight="1">
      <x:c r="A4" s="13" t="str">
        <x:v>成员名称</x:v>
      </x:c>
      <x:c r="B4" s="13" t="str">
        <x:v>当前盟</x:v>
      </x:c>
      <x:c r="C4" s="13" t="str">
        <x:v>建议盟</x:v>
      </x:c>
      <x:c r="D4" s="13" t="str">
        <x:v>迁盟动作</x:v>
      </x:c>
      <x:c r="E4" s="13" t="str">
        <x:v>总功勋</x:v>
      </x:c>
      <x:c r="F4" s="13" t="str">
        <x:v>实力</x:v>
      </x:c>
      <x:c r="G4" s="13" t="str">
        <x:v>战力</x:v>
      </x:c>
      <x:c r="H4" s="13" t="str">
        <x:v>最高集结</x:v>
      </x:c>
      <x:c r="I4" s="13" t="str">
        <x:v>国家队集结</x:v>
      </x:c>
      <x:c r="J4" s="13" t="str">
        <x:v>步防</x:v>
      </x:c>
      <x:c r="K4" s="13" t="str">
        <x:v>步生</x:v>
      </x:c>
      <x:c r="L4" s="13" t="str">
        <x:v>骑攻</x:v>
      </x:c>
      <x:c r="M4" s="13" t="str">
        <x:v>骑破</x:v>
      </x:c>
      <x:c r="N4" s="13" t="str">
        <x:v>弓攻</x:v>
      </x:c>
      <x:c r="O4" s="13" t="str">
        <x:v>弓破</x:v>
      </x:c>
      <x:c r="P4" s="13" t="str">
        <x:v>六维和</x:v>
      </x:c>
      <x:c r="Q4" s="13" t="str">
        <x:v>战斗评分</x:v>
      </x:c>
      <x:c r="R4" s="13" t="str">
        <x:v>战斗排名</x:v>
      </x:c>
      <x:c r="S4" s="13" t="str">
        <x:v>分配理由</x:v>
      </x:c>
    </x:row>
    <x:row r="5" ht="20" customHeight="1">
      <x:c r="A5" s="23" t="str">
        <x:f>IF('迁盟总表'!B199="","",'迁盟总表'!B199)</x:f>
        <x:v>大混混</x:v>
      </x:c>
      <x:c r="B5" s="24" t="str">
        <x:f>IF('迁盟总表'!C199="","",'迁盟总表'!C199)</x:f>
        <x:v>玲珑</x:v>
      </x:c>
      <x:c r="C5" s="63" t="str">
        <x:f>IF('迁盟总表'!D199="","",'迁盟总表'!D199)</x:f>
        <x:v>玲珑</x:v>
      </x:c>
      <x:c r="D5" s="24" t="str">
        <x:f>IF('迁盟总表'!E199="","",'迁盟总表'!E199)</x:f>
        <x:v>留盟</x:v>
      </x:c>
      <x:c r="E5" s="39" t="n">
        <x:f>IF('迁盟总表'!Q199="","",'迁盟总表'!Q199)</x:f>
        <x:v>5474228434</x:v>
      </x:c>
      <x:c r="F5" s="39" t="n">
        <x:f>IF('迁盟总表'!R199="","",'迁盟总表'!R199)</x:f>
        <x:v>110045882</x:v>
      </x:c>
      <x:c r="G5" s="39" t="n">
        <x:f>IF('迁盟总表'!S199="","",'迁盟总表'!S199)</x:f>
        <x:v>370988132</x:v>
      </x:c>
      <x:c r="H5" s="36" t="str">
        <x:f>IF('迁盟总表'!H199="","",'迁盟总表'!H199)</x:f>
      </x:c>
      <x:c r="I5" s="36" t="str">
        <x:f>IF('迁盟总表'!I199="","",'迁盟总表'!I199)</x:f>
      </x:c>
      <x:c r="J5" s="39" t="n">
        <x:f>IF('迁盟总表'!J199="","",'迁盟总表'!J199)</x:f>
        <x:v>804</x:v>
      </x:c>
      <x:c r="K5" s="39" t="n">
        <x:f>IF('迁盟总表'!K199="","",'迁盟总表'!K199)</x:f>
        <x:v>1027</x:v>
      </x:c>
      <x:c r="L5" s="39" t="n">
        <x:f>IF('迁盟总表'!L199="","",'迁盟总表'!L199)</x:f>
        <x:v>721</x:v>
      </x:c>
      <x:c r="M5" s="39" t="n">
        <x:f>IF('迁盟总表'!M199="","",'迁盟总表'!M199)</x:f>
        <x:v>762</x:v>
      </x:c>
      <x:c r="N5" s="39" t="n">
        <x:f>IF('迁盟总表'!N199="","",'迁盟总表'!N199)</x:f>
        <x:v>727</x:v>
      </x:c>
      <x:c r="O5" s="39" t="n">
        <x:f>IF('迁盟总表'!O199="","",'迁盟总表'!O199)</x:f>
        <x:v>946</x:v>
      </x:c>
      <x:c r="P5" s="39" t="n">
        <x:f>IF('迁盟总表'!P199="","",'迁盟总表'!P199)</x:f>
        <x:v>4987</x:v>
      </x:c>
      <x:c r="Q5" s="42" t="n">
        <x:f>IF('迁盟总表'!X199="","",'迁盟总表'!X199)</x:f>
        <x:v>85.4</x:v>
      </x:c>
      <x:c r="R5" s="24" t="n">
        <x:f>IF('迁盟总表'!Y199="","",'迁盟总表'!Y199)</x:f>
        <x:v>16</x:v>
      </x:c>
      <x:c r="S5" s="54" t="str">
        <x:f>IF('迁盟总表'!Z199="","",'迁盟总表'!Z199)</x:f>
        <x:v>保持当前盟，减少迁移成本</x:v>
      </x:c>
    </x:row>
    <x:row r="6" ht="20" customHeight="1">
      <x:c r="A6" s="26" t="str">
        <x:f>IF('迁盟总表'!B200="","",'迁盟总表'!B200)</x:f>
        <x:v>二麻爱争锋</x:v>
      </x:c>
      <x:c r="B6" s="27" t="str">
        <x:f>IF('迁盟总表'!C200="","",'迁盟总表'!C200)</x:f>
        <x:v>玲珑</x:v>
      </x:c>
      <x:c r="C6" s="64" t="str">
        <x:f>IF('迁盟总表'!D200="","",'迁盟总表'!D200)</x:f>
        <x:v>玲珑</x:v>
      </x:c>
      <x:c r="D6" s="27" t="str">
        <x:f>IF('迁盟总表'!E200="","",'迁盟总表'!E200)</x:f>
        <x:v>留盟</x:v>
      </x:c>
      <x:c r="E6" s="40" t="n">
        <x:f>IF('迁盟总表'!Q200="","",'迁盟总表'!Q200)</x:f>
        <x:v>6210699586</x:v>
      </x:c>
      <x:c r="F6" s="40" t="n">
        <x:f>IF('迁盟总表'!R200="","",'迁盟总表'!R200)</x:f>
        <x:v>108415987</x:v>
      </x:c>
      <x:c r="G6" s="40" t="n">
        <x:f>IF('迁盟总表'!S200="","",'迁盟总表'!S200)</x:f>
        <x:v>332497375</x:v>
      </x:c>
      <x:c r="H6" s="37" t="n">
        <x:f>IF('迁盟总表'!H200="","",'迁盟总表'!H200)</x:f>
        <x:v>28.8</x:v>
      </x:c>
      <x:c r="I6" s="37" t="n">
        <x:f>IF('迁盟总表'!I200="","",'迁盟总表'!I200)</x:f>
        <x:v>25.8</x:v>
      </x:c>
      <x:c r="J6" s="40" t="n">
        <x:f>IF('迁盟总表'!J200="","",'迁盟总表'!J200)</x:f>
        <x:v>888</x:v>
      </x:c>
      <x:c r="K6" s="40" t="n">
        <x:f>IF('迁盟总表'!K200="","",'迁盟总表'!K200)</x:f>
        <x:v>1025</x:v>
      </x:c>
      <x:c r="L6" s="40" t="n">
        <x:f>IF('迁盟总表'!L200="","",'迁盟总表'!L200)</x:f>
        <x:v>745</x:v>
      </x:c>
      <x:c r="M6" s="40" t="n">
        <x:f>IF('迁盟总表'!M200="","",'迁盟总表'!M200)</x:f>
        <x:v>691</x:v>
      </x:c>
      <x:c r="N6" s="40" t="n">
        <x:f>IF('迁盟总表'!N200="","",'迁盟总表'!N200)</x:f>
        <x:v>797</x:v>
      </x:c>
      <x:c r="O6" s="40" t="n">
        <x:f>IF('迁盟总表'!O200="","",'迁盟总表'!O200)</x:f>
        <x:v>923</x:v>
      </x:c>
      <x:c r="P6" s="40" t="n">
        <x:f>IF('迁盟总表'!P200="","",'迁盟总表'!P200)</x:f>
        <x:v>5069</x:v>
      </x:c>
      <x:c r="Q6" s="43" t="n">
        <x:f>IF('迁盟总表'!X200="","",'迁盟总表'!X200)</x:f>
        <x:v>84.2</x:v>
      </x:c>
      <x:c r="R6" s="27" t="n">
        <x:f>IF('迁盟总表'!Y200="","",'迁盟总表'!Y200)</x:f>
        <x:v>22</x:v>
      </x:c>
      <x:c r="S6" s="55" t="str">
        <x:f>IF('迁盟总表'!Z200="","",'迁盟总表'!Z200)</x:f>
        <x:v>保持当前盟，减少迁移成本</x:v>
      </x:c>
    </x:row>
    <x:row r="7" ht="20" customHeight="1">
      <x:c r="A7" s="26" t="str">
        <x:f>IF('迁盟总表'!B201="","",'迁盟总表'!B201)</x:f>
        <x:v>捏泥人的破丸</x:v>
      </x:c>
      <x:c r="B7" s="27" t="str">
        <x:f>IF('迁盟总表'!C201="","",'迁盟总表'!C201)</x:f>
        <x:v>玲珑</x:v>
      </x:c>
      <x:c r="C7" s="64" t="str">
        <x:f>IF('迁盟总表'!D201="","",'迁盟总表'!D201)</x:f>
        <x:v>玲珑</x:v>
      </x:c>
      <x:c r="D7" s="27" t="str">
        <x:f>IF('迁盟总表'!E201="","",'迁盟总表'!E201)</x:f>
        <x:v>留盟</x:v>
      </x:c>
      <x:c r="E7" s="40" t="n">
        <x:f>IF('迁盟总表'!Q201="","",'迁盟总表'!Q201)</x:f>
        <x:v>3723973416</x:v>
      </x:c>
      <x:c r="F7" s="40" t="n">
        <x:f>IF('迁盟总表'!R201="","",'迁盟总表'!R201)</x:f>
        <x:v>104665400</x:v>
      </x:c>
      <x:c r="G7" s="40" t="n">
        <x:f>IF('迁盟总表'!S201="","",'迁盟总表'!S201)</x:f>
        <x:v>330404897</x:v>
      </x:c>
      <x:c r="H7" s="37" t="n">
        <x:f>IF('迁盟总表'!H201="","",'迁盟总表'!H201)</x:f>
        <x:v>28</x:v>
      </x:c>
      <x:c r="I7" s="37" t="n">
        <x:f>IF('迁盟总表'!I201="","",'迁盟总表'!I201)</x:f>
        <x:v>21.6</x:v>
      </x:c>
      <x:c r="J7" s="40" t="n">
        <x:f>IF('迁盟总表'!J201="","",'迁盟总表'!J201)</x:f>
        <x:v>843</x:v>
      </x:c>
      <x:c r="K7" s="40" t="n">
        <x:f>IF('迁盟总表'!K201="","",'迁盟总表'!K201)</x:f>
        <x:v>985</x:v>
      </x:c>
      <x:c r="L7" s="40" t="n">
        <x:f>IF('迁盟总表'!L201="","",'迁盟总表'!L201)</x:f>
        <x:v>724</x:v>
      </x:c>
      <x:c r="M7" s="40" t="n">
        <x:f>IF('迁盟总表'!M201="","",'迁盟总表'!M201)</x:f>
        <x:v>831</x:v>
      </x:c>
      <x:c r="N7" s="40" t="n">
        <x:f>IF('迁盟总表'!N201="","",'迁盟总表'!N201)</x:f>
        <x:v>844</x:v>
      </x:c>
      <x:c r="O7" s="40" t="n">
        <x:f>IF('迁盟总表'!O201="","",'迁盟总表'!O201)</x:f>
        <x:v>904</x:v>
      </x:c>
      <x:c r="P7" s="40" t="n">
        <x:f>IF('迁盟总表'!P201="","",'迁盟总表'!P201)</x:f>
        <x:v>5131</x:v>
      </x:c>
      <x:c r="Q7" s="43" t="n">
        <x:f>IF('迁盟总表'!X201="","",'迁盟总表'!X201)</x:f>
        <x:v>82.4</x:v>
      </x:c>
      <x:c r="R7" s="27" t="n">
        <x:f>IF('迁盟总表'!Y201="","",'迁盟总表'!Y201)</x:f>
        <x:v>30</x:v>
      </x:c>
      <x:c r="S7" s="55" t="str">
        <x:f>IF('迁盟总表'!Z201="","",'迁盟总表'!Z201)</x:f>
        <x:v>保持当前盟，减少迁移成本</x:v>
      </x:c>
    </x:row>
    <x:row r="8" ht="20" customHeight="1">
      <x:c r="A8" s="26" t="str">
        <x:f>IF('迁盟总表'!B202="","",'迁盟总表'!B202)</x:f>
        <x:v>繁华丶落幕</x:v>
      </x:c>
      <x:c r="B8" s="27" t="str">
        <x:f>IF('迁盟总表'!C202="","",'迁盟总表'!C202)</x:f>
        <x:v>玲珑</x:v>
      </x:c>
      <x:c r="C8" s="64" t="str">
        <x:f>IF('迁盟总表'!D202="","",'迁盟总表'!D202)</x:f>
        <x:v>玲珑</x:v>
      </x:c>
      <x:c r="D8" s="27" t="str">
        <x:f>IF('迁盟总表'!E202="","",'迁盟总表'!E202)</x:f>
        <x:v>留盟</x:v>
      </x:c>
      <x:c r="E8" s="40" t="n">
        <x:f>IF('迁盟总表'!Q202="","",'迁盟总表'!Q202)</x:f>
        <x:v>6054166868</x:v>
      </x:c>
      <x:c r="F8" s="40" t="n">
        <x:f>IF('迁盟总表'!R202="","",'迁盟总表'!R202)</x:f>
        <x:v>97999214</x:v>
      </x:c>
      <x:c r="G8" s="40" t="n">
        <x:f>IF('迁盟总表'!S202="","",'迁盟总表'!S202)</x:f>
        <x:v>367015612</x:v>
      </x:c>
      <x:c r="H8" s="37" t="n">
        <x:f>IF('迁盟总表'!H202="","",'迁盟总表'!H202)</x:f>
        <x:v>26.5</x:v>
      </x:c>
      <x:c r="I8" s="37" t="n">
        <x:f>IF('迁盟总表'!I202="","",'迁盟总表'!I202)</x:f>
        <x:v>22.5</x:v>
      </x:c>
      <x:c r="J8" s="40" t="n">
        <x:f>IF('迁盟总表'!J202="","",'迁盟总表'!J202)</x:f>
        <x:v>870</x:v>
      </x:c>
      <x:c r="K8" s="40" t="n">
        <x:f>IF('迁盟总表'!K202="","",'迁盟总表'!K202)</x:f>
        <x:v>900</x:v>
      </x:c>
      <x:c r="L8" s="40" t="n">
        <x:f>IF('迁盟总表'!L202="","",'迁盟总表'!L202)</x:f>
        <x:v>710</x:v>
      </x:c>
      <x:c r="M8" s="40" t="n">
        <x:f>IF('迁盟总表'!M202="","",'迁盟总表'!M202)</x:f>
        <x:v>650</x:v>
      </x:c>
      <x:c r="N8" s="40" t="n">
        <x:f>IF('迁盟总表'!N202="","",'迁盟总表'!N202)</x:f>
        <x:v>730</x:v>
      </x:c>
      <x:c r="O8" s="40" t="n">
        <x:f>IF('迁盟总表'!O202="","",'迁盟总表'!O202)</x:f>
        <x:v>900</x:v>
      </x:c>
      <x:c r="P8" s="40" t="n">
        <x:f>IF('迁盟总表'!P202="","",'迁盟总表'!P202)</x:f>
        <x:v>4760</x:v>
      </x:c>
      <x:c r="Q8" s="43" t="n">
        <x:f>IF('迁盟总表'!X202="","",'迁盟总表'!X202)</x:f>
        <x:v>82</x:v>
      </x:c>
      <x:c r="R8" s="27" t="n">
        <x:f>IF('迁盟总表'!Y202="","",'迁盟总表'!Y202)</x:f>
        <x:v>33</x:v>
      </x:c>
      <x:c r="S8" s="55" t="str">
        <x:f>IF('迁盟总表'!Z202="","",'迁盟总表'!Z202)</x:f>
        <x:v>保持当前盟，减少迁移成本</x:v>
      </x:c>
    </x:row>
    <x:row r="9" ht="20" customHeight="1">
      <x:c r="A9" s="26" t="str">
        <x:f>IF('迁盟总表'!B203="","",'迁盟总表'!B203)</x:f>
        <x:v>孤独的风</x:v>
      </x:c>
      <x:c r="B9" s="27" t="str">
        <x:f>IF('迁盟总表'!C203="","",'迁盟总表'!C203)</x:f>
        <x:v>玲珑</x:v>
      </x:c>
      <x:c r="C9" s="64" t="str">
        <x:f>IF('迁盟总表'!D203="","",'迁盟总表'!D203)</x:f>
        <x:v>玲珑</x:v>
      </x:c>
      <x:c r="D9" s="27" t="str">
        <x:f>IF('迁盟总表'!E203="","",'迁盟总表'!E203)</x:f>
        <x:v>留盟</x:v>
      </x:c>
      <x:c r="E9" s="40" t="n">
        <x:f>IF('迁盟总表'!Q203="","",'迁盟总表'!Q203)</x:f>
        <x:v>2238393436</x:v>
      </x:c>
      <x:c r="F9" s="40" t="n">
        <x:f>IF('迁盟总表'!R203="","",'迁盟总表'!R203)</x:f>
        <x:v>96363071</x:v>
      </x:c>
      <x:c r="G9" s="40" t="n">
        <x:f>IF('迁盟总表'!S203="","",'迁盟总表'!S203)</x:f>
        <x:v>336584015</x:v>
      </x:c>
      <x:c r="H9" s="37" t="str">
        <x:f>IF('迁盟总表'!H203="","",'迁盟总表'!H203)</x:f>
      </x:c>
      <x:c r="I9" s="37" t="str">
        <x:f>IF('迁盟总表'!I203="","",'迁盟总表'!I203)</x:f>
      </x:c>
      <x:c r="J9" s="40" t="str">
        <x:f>IF('迁盟总表'!J203="","",'迁盟总表'!J203)</x:f>
      </x:c>
      <x:c r="K9" s="40" t="str">
        <x:f>IF('迁盟总表'!K203="","",'迁盟总表'!K203)</x:f>
      </x:c>
      <x:c r="L9" s="40" t="str">
        <x:f>IF('迁盟总表'!L203="","",'迁盟总表'!L203)</x:f>
      </x:c>
      <x:c r="M9" s="40" t="str">
        <x:f>IF('迁盟总表'!M203="","",'迁盟总表'!M203)</x:f>
      </x:c>
      <x:c r="N9" s="40" t="str">
        <x:f>IF('迁盟总表'!N203="","",'迁盟总表'!N203)</x:f>
      </x:c>
      <x:c r="O9" s="40" t="str">
        <x:f>IF('迁盟总表'!O203="","",'迁盟总表'!O203)</x:f>
      </x:c>
      <x:c r="P9" s="40" t="str">
        <x:f>IF('迁盟总表'!P203="","",'迁盟总表'!P203)</x:f>
      </x:c>
      <x:c r="Q9" s="43" t="n">
        <x:f>IF('迁盟总表'!X203="","",'迁盟总表'!X203)</x:f>
        <x:v>79.5</x:v>
      </x:c>
      <x:c r="R9" s="27" t="n">
        <x:f>IF('迁盟总表'!Y203="","",'迁盟总表'!Y203)</x:f>
        <x:v>42</x:v>
      </x:c>
      <x:c r="S9" s="55" t="str">
        <x:f>IF('迁盟总表'!Z203="","",'迁盟总表'!Z203)</x:f>
        <x:v>保持当前盟，减少迁移成本</x:v>
      </x:c>
    </x:row>
    <x:row r="10" ht="20" customHeight="1">
      <x:c r="A10" s="26" t="str">
        <x:f>IF('迁盟总表'!B204="","",'迁盟总表'!B204)</x:f>
        <x:v>魔鬼胡安</x:v>
      </x:c>
      <x:c r="B10" s="27" t="str">
        <x:f>IF('迁盟总表'!C204="","",'迁盟总表'!C204)</x:f>
        <x:v>玲珑</x:v>
      </x:c>
      <x:c r="C10" s="64" t="str">
        <x:f>IF('迁盟总表'!D204="","",'迁盟总表'!D204)</x:f>
        <x:v>玲珑</x:v>
      </x:c>
      <x:c r="D10" s="27" t="str">
        <x:f>IF('迁盟总表'!E204="","",'迁盟总表'!E204)</x:f>
        <x:v>留盟</x:v>
      </x:c>
      <x:c r="E10" s="40" t="n">
        <x:f>IF('迁盟总表'!Q204="","",'迁盟总表'!Q204)</x:f>
        <x:v>1577399658</x:v>
      </x:c>
      <x:c r="F10" s="40" t="n">
        <x:f>IF('迁盟总表'!R204="","",'迁盟总表'!R204)</x:f>
        <x:v>98809832</x:v>
      </x:c>
      <x:c r="G10" s="40" t="n">
        <x:f>IF('迁盟总表'!S204="","",'迁盟总表'!S204)</x:f>
        <x:v>340450858</x:v>
      </x:c>
      <x:c r="H10" s="37" t="n">
        <x:f>IF('迁盟总表'!H204="","",'迁盟总表'!H204)</x:f>
        <x:v>28.4</x:v>
      </x:c>
      <x:c r="I10" s="37" t="n">
        <x:f>IF('迁盟总表'!I204="","",'迁盟总表'!I204)</x:f>
        <x:v>28.4</x:v>
      </x:c>
      <x:c r="J10" s="40" t="n">
        <x:f>IF('迁盟总表'!J204="","",'迁盟总表'!J204)</x:f>
        <x:v>800</x:v>
      </x:c>
      <x:c r="K10" s="40" t="n">
        <x:f>IF('迁盟总表'!K204="","",'迁盟总表'!K204)</x:f>
        <x:v>1000</x:v>
      </x:c>
      <x:c r="L10" s="40" t="n">
        <x:f>IF('迁盟总表'!L204="","",'迁盟总表'!L204)</x:f>
        <x:v>600</x:v>
      </x:c>
      <x:c r="M10" s="40" t="n">
        <x:f>IF('迁盟总表'!M204="","",'迁盟总表'!M204)</x:f>
        <x:v>600</x:v>
      </x:c>
      <x:c r="N10" s="40" t="n">
        <x:f>IF('迁盟总表'!N204="","",'迁盟总表'!N204)</x:f>
        <x:v>700</x:v>
      </x:c>
      <x:c r="O10" s="40" t="n">
        <x:f>IF('迁盟总表'!O204="","",'迁盟总表'!O204)</x:f>
        <x:v>800</x:v>
      </x:c>
      <x:c r="P10" s="40" t="n">
        <x:f>IF('迁盟总表'!P204="","",'迁盟总表'!P204)</x:f>
        <x:v>4500</x:v>
      </x:c>
      <x:c r="Q10" s="43" t="n">
        <x:f>IF('迁盟总表'!X204="","",'迁盟总表'!X204)</x:f>
        <x:v>78.8</x:v>
      </x:c>
      <x:c r="R10" s="27" t="n">
        <x:f>IF('迁盟总表'!Y204="","",'迁盟总表'!Y204)</x:f>
        <x:v>45</x:v>
      </x:c>
      <x:c r="S10" s="55" t="str">
        <x:f>IF('迁盟总表'!Z204="","",'迁盟总表'!Z204)</x:f>
        <x:v>保持当前盟，减少迁移成本</x:v>
      </x:c>
    </x:row>
    <x:row r="11" ht="20" customHeight="1">
      <x:c r="A11" s="26" t="str">
        <x:f>IF('迁盟总表'!B205="","",'迁盟总表'!B205)</x:f>
        <x:v>小范大人</x:v>
      </x:c>
      <x:c r="B11" s="27" t="str">
        <x:f>IF('迁盟总表'!C205="","",'迁盟总表'!C205)</x:f>
        <x:v>玲珑</x:v>
      </x:c>
      <x:c r="C11" s="64" t="str">
        <x:f>IF('迁盟总表'!D205="","",'迁盟总表'!D205)</x:f>
        <x:v>玲珑</x:v>
      </x:c>
      <x:c r="D11" s="27" t="str">
        <x:f>IF('迁盟总表'!E205="","",'迁盟总表'!E205)</x:f>
        <x:v>留盟</x:v>
      </x:c>
      <x:c r="E11" s="40" t="n">
        <x:f>IF('迁盟总表'!Q205="","",'迁盟总表'!Q205)</x:f>
        <x:v>343068616</x:v>
      </x:c>
      <x:c r="F11" s="40" t="n">
        <x:f>IF('迁盟总表'!R205="","",'迁盟总表'!R205)</x:f>
        <x:v>105857103</x:v>
      </x:c>
      <x:c r="G11" s="40" t="n">
        <x:f>IF('迁盟总表'!S205="","",'迁盟总表'!S205)</x:f>
        <x:v>379263241</x:v>
      </x:c>
      <x:c r="H11" s="37" t="n">
        <x:f>IF('迁盟总表'!H205="","",'迁盟总表'!H205)</x:f>
        <x:v>29.1</x:v>
      </x:c>
      <x:c r="I11" s="37" t="n">
        <x:f>IF('迁盟总表'!I205="","",'迁盟总表'!I205)</x:f>
        <x:v>29.1</x:v>
      </x:c>
      <x:c r="J11" s="40" t="n">
        <x:f>IF('迁盟总表'!J205="","",'迁盟总表'!J205)</x:f>
        <x:v>723</x:v>
      </x:c>
      <x:c r="K11" s="40" t="n">
        <x:f>IF('迁盟总表'!K205="","",'迁盟总表'!K205)</x:f>
        <x:v>738</x:v>
      </x:c>
      <x:c r="L11" s="40" t="n">
        <x:f>IF('迁盟总表'!L205="","",'迁盟总表'!L205)</x:f>
        <x:v>702</x:v>
      </x:c>
      <x:c r="M11" s="40" t="n">
        <x:f>IF('迁盟总表'!M205="","",'迁盟总表'!M205)</x:f>
        <x:v>620</x:v>
      </x:c>
      <x:c r="N11" s="40" t="n">
        <x:f>IF('迁盟总表'!N205="","",'迁盟总表'!N205)</x:f>
        <x:v>726</x:v>
      </x:c>
      <x:c r="O11" s="40" t="n">
        <x:f>IF('迁盟总表'!O205="","",'迁盟总表'!O205)</x:f>
        <x:v>692</x:v>
      </x:c>
      <x:c r="P11" s="40" t="n">
        <x:f>IF('迁盟总表'!P205="","",'迁盟总表'!P205)</x:f>
        <x:v>4201</x:v>
      </x:c>
      <x:c r="Q11" s="43" t="n">
        <x:f>IF('迁盟总表'!X205="","",'迁盟总表'!X205)</x:f>
        <x:v>78.6</x:v>
      </x:c>
      <x:c r="R11" s="27" t="n">
        <x:f>IF('迁盟总表'!Y205="","",'迁盟总表'!Y205)</x:f>
        <x:v>49</x:v>
      </x:c>
      <x:c r="S11" s="55" t="str">
        <x:f>IF('迁盟总表'!Z205="","",'迁盟总表'!Z205)</x:f>
        <x:v>保持当前盟，减少迁移成本</x:v>
      </x:c>
    </x:row>
    <x:row r="12" ht="20" customHeight="1">
      <x:c r="A12" s="26" t="str">
        <x:f>IF('迁盟总表'!B206="","",'迁盟总表'!B206)</x:f>
        <x:v>兮兮妹</x:v>
      </x:c>
      <x:c r="B12" s="27" t="str">
        <x:f>IF('迁盟总表'!C206="","",'迁盟总表'!C206)</x:f>
        <x:v>玲珑</x:v>
      </x:c>
      <x:c r="C12" s="64" t="str">
        <x:f>IF('迁盟总表'!D206="","",'迁盟总表'!D206)</x:f>
        <x:v>玲珑</x:v>
      </x:c>
      <x:c r="D12" s="27" t="str">
        <x:f>IF('迁盟总表'!E206="","",'迁盟总表'!E206)</x:f>
        <x:v>留盟</x:v>
      </x:c>
      <x:c r="E12" s="40" t="n">
        <x:f>IF('迁盟总表'!Q206="","",'迁盟总表'!Q206)</x:f>
        <x:v>8940166634</x:v>
      </x:c>
      <x:c r="F12" s="40" t="n">
        <x:f>IF('迁盟总表'!R206="","",'迁盟总表'!R206)</x:f>
        <x:v>87108703</x:v>
      </x:c>
      <x:c r="G12" s="40" t="n">
        <x:f>IF('迁盟总表'!S206="","",'迁盟总表'!S206)</x:f>
        <x:v>331429614</x:v>
      </x:c>
      <x:c r="H12" s="37" t="n">
        <x:f>IF('迁盟总表'!H206="","",'迁盟总表'!H206)</x:f>
        <x:v>25.8</x:v>
      </x:c>
      <x:c r="I12" s="37" t="n">
        <x:f>IF('迁盟总表'!I206="","",'迁盟总表'!I206)</x:f>
        <x:v>25.8</x:v>
      </x:c>
      <x:c r="J12" s="40" t="n">
        <x:f>IF('迁盟总表'!J206="","",'迁盟总表'!J206)</x:f>
        <x:v>675</x:v>
      </x:c>
      <x:c r="K12" s="40" t="n">
        <x:f>IF('迁盟总表'!K206="","",'迁盟总表'!K206)</x:f>
        <x:v>850</x:v>
      </x:c>
      <x:c r="L12" s="40" t="n">
        <x:f>IF('迁盟总表'!L206="","",'迁盟总表'!L206)</x:f>
        <x:v>650</x:v>
      </x:c>
      <x:c r="M12" s="40" t="n">
        <x:f>IF('迁盟总表'!M206="","",'迁盟总表'!M206)</x:f>
        <x:v>450</x:v>
      </x:c>
      <x:c r="N12" s="40" t="n">
        <x:f>IF('迁盟总表'!N206="","",'迁盟总表'!N206)</x:f>
        <x:v>750</x:v>
      </x:c>
      <x:c r="O12" s="40" t="n">
        <x:f>IF('迁盟总表'!O206="","",'迁盟总表'!O206)</x:f>
        <x:v>610</x:v>
      </x:c>
      <x:c r="P12" s="40" t="n">
        <x:f>IF('迁盟总表'!P206="","",'迁盟总表'!P206)</x:f>
        <x:v>3985</x:v>
      </x:c>
      <x:c r="Q12" s="43" t="n">
        <x:f>IF('迁盟总表'!X206="","",'迁盟总表'!X206)</x:f>
        <x:v>77.6</x:v>
      </x:c>
      <x:c r="R12" s="27" t="n">
        <x:f>IF('迁盟总表'!Y206="","",'迁盟总表'!Y206)</x:f>
        <x:v>61</x:v>
      </x:c>
      <x:c r="S12" s="55" t="str">
        <x:f>IF('迁盟总表'!Z206="","",'迁盟总表'!Z206)</x:f>
        <x:v>保持当前盟，减少迁移成本</x:v>
      </x:c>
    </x:row>
    <x:row r="13" ht="20" customHeight="1">
      <x:c r="A13" s="26" t="str">
        <x:f>IF('迁盟总表'!B207="","",'迁盟总表'!B207)</x:f>
        <x:v>酒酿柠檬茶</x:v>
      </x:c>
      <x:c r="B13" s="27" t="str">
        <x:f>IF('迁盟总表'!C207="","",'迁盟总表'!C207)</x:f>
        <x:v>玲珑</x:v>
      </x:c>
      <x:c r="C13" s="64" t="str">
        <x:f>IF('迁盟总表'!D207="","",'迁盟总表'!D207)</x:f>
        <x:v>玲珑</x:v>
      </x:c>
      <x:c r="D13" s="27" t="str">
        <x:f>IF('迁盟总表'!E207="","",'迁盟总表'!E207)</x:f>
        <x:v>留盟</x:v>
      </x:c>
      <x:c r="E13" s="40" t="n">
        <x:f>IF('迁盟总表'!Q207="","",'迁盟总表'!Q207)</x:f>
        <x:v>2965500964</x:v>
      </x:c>
      <x:c r="F13" s="40" t="n">
        <x:f>IF('迁盟总表'!R207="","",'迁盟总表'!R207)</x:f>
        <x:v>91010021</x:v>
      </x:c>
      <x:c r="G13" s="40" t="n">
        <x:f>IF('迁盟总表'!S207="","",'迁盟总表'!S207)</x:f>
        <x:v>310796899</x:v>
      </x:c>
      <x:c r="H13" s="37" t="n">
        <x:f>IF('迁盟总表'!H207="","",'迁盟总表'!H207)</x:f>
        <x:v>28.8</x:v>
      </x:c>
      <x:c r="I13" s="37" t="n">
        <x:f>IF('迁盟总表'!I207="","",'迁盟总表'!I207)</x:f>
        <x:v>28.8</x:v>
      </x:c>
      <x:c r="J13" s="40" t="n">
        <x:f>IF('迁盟总表'!J207="","",'迁盟总表'!J207)</x:f>
        <x:v>812</x:v>
      </x:c>
      <x:c r="K13" s="40" t="n">
        <x:f>IF('迁盟总表'!K207="","",'迁盟总表'!K207)</x:f>
        <x:v>925</x:v>
      </x:c>
      <x:c r="L13" s="40" t="n">
        <x:f>IF('迁盟总表'!L207="","",'迁盟总表'!L207)</x:f>
        <x:v>682</x:v>
      </x:c>
      <x:c r="M13" s="40" t="n">
        <x:f>IF('迁盟总表'!M207="","",'迁盟总表'!M207)</x:f>
        <x:v>584</x:v>
      </x:c>
      <x:c r="N13" s="40" t="n">
        <x:f>IF('迁盟总表'!N207="","",'迁盟总表'!N207)</x:f>
        <x:v>761</x:v>
      </x:c>
      <x:c r="O13" s="40" t="n">
        <x:f>IF('迁盟总表'!O207="","",'迁盟总表'!O207)</x:f>
        <x:v>832</x:v>
      </x:c>
      <x:c r="P13" s="40" t="n">
        <x:f>IF('迁盟总表'!P207="","",'迁盟总表'!P207)</x:f>
        <x:v>4596</x:v>
      </x:c>
      <x:c r="Q13" s="43" t="n">
        <x:f>IF('迁盟总表'!X207="","",'迁盟总表'!X207)</x:f>
        <x:v>77.1</x:v>
      </x:c>
      <x:c r="R13" s="27" t="n">
        <x:f>IF('迁盟总表'!Y207="","",'迁盟总表'!Y207)</x:f>
        <x:v>63</x:v>
      </x:c>
      <x:c r="S13" s="55" t="str">
        <x:f>IF('迁盟总表'!Z207="","",'迁盟总表'!Z207)</x:f>
        <x:v>保持当前盟，减少迁移成本</x:v>
      </x:c>
    </x:row>
    <x:row r="14" ht="20" customHeight="1">
      <x:c r="A14" s="26" t="str">
        <x:f>IF('迁盟总表'!B208="","",'迁盟总表'!B208)</x:f>
        <x:v>程程程</x:v>
      </x:c>
      <x:c r="B14" s="27" t="str">
        <x:f>IF('迁盟总表'!C208="","",'迁盟总表'!C208)</x:f>
        <x:v>玲珑</x:v>
      </x:c>
      <x:c r="C14" s="64" t="str">
        <x:f>IF('迁盟总表'!D208="","",'迁盟总表'!D208)</x:f>
        <x:v>玲珑</x:v>
      </x:c>
      <x:c r="D14" s="27" t="str">
        <x:f>IF('迁盟总表'!E208="","",'迁盟总表'!E208)</x:f>
        <x:v>留盟</x:v>
      </x:c>
      <x:c r="E14" s="40" t="n">
        <x:f>IF('迁盟总表'!Q208="","",'迁盟总表'!Q208)</x:f>
        <x:v>3586483070</x:v>
      </x:c>
      <x:c r="F14" s="40" t="n">
        <x:f>IF('迁盟总表'!R208="","",'迁盟总表'!R208)</x:f>
        <x:v>90857792</x:v>
      </x:c>
      <x:c r="G14" s="40" t="n">
        <x:f>IF('迁盟总表'!S208="","",'迁盟总表'!S208)</x:f>
        <x:v>325949446</x:v>
      </x:c>
      <x:c r="H14" s="37" t="n">
        <x:f>IF('迁盟总表'!H208="","",'迁盟总表'!H208)</x:f>
        <x:v>26.4</x:v>
      </x:c>
      <x:c r="I14" s="37" t="n">
        <x:f>IF('迁盟总表'!I208="","",'迁盟总表'!I208)</x:f>
        <x:v>20.1</x:v>
      </x:c>
      <x:c r="J14" s="40" t="n">
        <x:f>IF('迁盟总表'!J208="","",'迁盟总表'!J208)</x:f>
        <x:v>760</x:v>
      </x:c>
      <x:c r="K14" s="40" t="n">
        <x:f>IF('迁盟总表'!K208="","",'迁盟总表'!K208)</x:f>
        <x:v>704</x:v>
      </x:c>
      <x:c r="L14" s="40" t="n">
        <x:f>IF('迁盟总表'!L208="","",'迁盟总表'!L208)</x:f>
        <x:v>641</x:v>
      </x:c>
      <x:c r="M14" s="40" t="n">
        <x:f>IF('迁盟总表'!M208="","",'迁盟总表'!M208)</x:f>
        <x:v>602</x:v>
      </x:c>
      <x:c r="N14" s="40" t="n">
        <x:f>IF('迁盟总表'!N208="","",'迁盟总表'!N208)</x:f>
        <x:v>707</x:v>
      </x:c>
      <x:c r="O14" s="40" t="n">
        <x:f>IF('迁盟总表'!O208="","",'迁盟总表'!O208)</x:f>
        <x:v>647</x:v>
      </x:c>
      <x:c r="P14" s="40" t="n">
        <x:f>IF('迁盟总表'!P208="","",'迁盟总表'!P208)</x:f>
        <x:v>4061</x:v>
      </x:c>
      <x:c r="Q14" s="43" t="n">
        <x:f>IF('迁盟总表'!X208="","",'迁盟总表'!X208)</x:f>
        <x:v>77</x:v>
      </x:c>
      <x:c r="R14" s="27" t="n">
        <x:f>IF('迁盟总表'!Y208="","",'迁盟总表'!Y208)</x:f>
        <x:v>65</x:v>
      </x:c>
      <x:c r="S14" s="55" t="str">
        <x:f>IF('迁盟总表'!Z208="","",'迁盟总表'!Z208)</x:f>
        <x:v>保持当前盟，减少迁移成本</x:v>
      </x:c>
    </x:row>
    <x:row r="15" ht="20" customHeight="1">
      <x:c r="A15" s="26" t="str">
        <x:f>IF('迁盟总表'!B209="","",'迁盟总表'!B209)</x:f>
        <x:v>执念丶</x:v>
      </x:c>
      <x:c r="B15" s="27" t="str">
        <x:f>IF('迁盟总表'!C209="","",'迁盟总表'!C209)</x:f>
        <x:v>玲珑</x:v>
      </x:c>
      <x:c r="C15" s="64" t="str">
        <x:f>IF('迁盟总表'!D209="","",'迁盟总表'!D209)</x:f>
        <x:v>玲珑</x:v>
      </x:c>
      <x:c r="D15" s="27" t="str">
        <x:f>IF('迁盟总表'!E209="","",'迁盟总表'!E209)</x:f>
        <x:v>留盟</x:v>
      </x:c>
      <x:c r="E15" s="40" t="n">
        <x:f>IF('迁盟总表'!Q209="","",'迁盟总表'!Q209)</x:f>
        <x:v>4508820112</x:v>
      </x:c>
      <x:c r="F15" s="40" t="n">
        <x:f>IF('迁盟总表'!R209="","",'迁盟总表'!R209)</x:f>
        <x:v>91711332</x:v>
      </x:c>
      <x:c r="G15" s="40" t="n">
        <x:f>IF('迁盟总表'!S209="","",'迁盟总表'!S209)</x:f>
        <x:v>287686144</x:v>
      </x:c>
      <x:c r="H15" s="37" t="n">
        <x:f>IF('迁盟总表'!H209="","",'迁盟总表'!H209)</x:f>
        <x:v>28.24</x:v>
      </x:c>
      <x:c r="I15" s="37" t="n">
        <x:f>IF('迁盟总表'!I209="","",'迁盟总表'!I209)</x:f>
        <x:v>22.5</x:v>
      </x:c>
      <x:c r="J15" s="40" t="n">
        <x:f>IF('迁盟总表'!J209="","",'迁盟总表'!J209)</x:f>
        <x:v>744</x:v>
      </x:c>
      <x:c r="K15" s="40" t="n">
        <x:f>IF('迁盟总表'!K209="","",'迁盟总表'!K209)</x:f>
        <x:v>921</x:v>
      </x:c>
      <x:c r="L15" s="40" t="n">
        <x:f>IF('迁盟总表'!L209="","",'迁盟总表'!L209)</x:f>
        <x:v>610</x:v>
      </x:c>
      <x:c r="M15" s="40" t="n">
        <x:f>IF('迁盟总表'!M209="","",'迁盟总表'!M209)</x:f>
        <x:v>571</x:v>
      </x:c>
      <x:c r="N15" s="40" t="n">
        <x:f>IF('迁盟总表'!N209="","",'迁盟总表'!N209)</x:f>
        <x:v>684</x:v>
      </x:c>
      <x:c r="O15" s="40" t="n">
        <x:f>IF('迁盟总表'!O209="","",'迁盟总表'!O209)</x:f>
        <x:v>818</x:v>
      </x:c>
      <x:c r="P15" s="40" t="n">
        <x:f>IF('迁盟总表'!P209="","",'迁盟总表'!P209)</x:f>
        <x:v>4348</x:v>
      </x:c>
      <x:c r="Q15" s="43" t="n">
        <x:f>IF('迁盟总表'!X209="","",'迁盟总表'!X209)</x:f>
        <x:v>76.9</x:v>
      </x:c>
      <x:c r="R15" s="27" t="n">
        <x:f>IF('迁盟总表'!Y209="","",'迁盟总表'!Y209)</x:f>
        <x:v>66</x:v>
      </x:c>
      <x:c r="S15" s="55" t="str">
        <x:f>IF('迁盟总表'!Z209="","",'迁盟总表'!Z209)</x:f>
        <x:v>保持当前盟，减少迁移成本</x:v>
      </x:c>
    </x:row>
    <x:row r="16" ht="20" customHeight="1">
      <x:c r="A16" s="26" t="str">
        <x:f>IF('迁盟总表'!B210="","",'迁盟总表'!B210)</x:f>
        <x:v>动感光波</x:v>
      </x:c>
      <x:c r="B16" s="27" t="str">
        <x:f>IF('迁盟总表'!C210="","",'迁盟总表'!C210)</x:f>
        <x:v>玲珑</x:v>
      </x:c>
      <x:c r="C16" s="64" t="str">
        <x:f>IF('迁盟总表'!D210="","",'迁盟总表'!D210)</x:f>
        <x:v>玲珑</x:v>
      </x:c>
      <x:c r="D16" s="27" t="str">
        <x:f>IF('迁盟总表'!E210="","",'迁盟总表'!E210)</x:f>
        <x:v>留盟</x:v>
      </x:c>
      <x:c r="E16" s="40" t="n">
        <x:f>IF('迁盟总表'!Q210="","",'迁盟总表'!Q210)</x:f>
        <x:v>3567317400</x:v>
      </x:c>
      <x:c r="F16" s="40" t="n">
        <x:f>IF('迁盟总表'!R210="","",'迁盟总表'!R210)</x:f>
        <x:v>90887949</x:v>
      </x:c>
      <x:c r="G16" s="40" t="n">
        <x:f>IF('迁盟总表'!S210="","",'迁盟总表'!S210)</x:f>
        <x:v>322824962</x:v>
      </x:c>
      <x:c r="H16" s="37" t="n">
        <x:f>IF('迁盟总表'!H210="","",'迁盟总表'!H210)</x:f>
        <x:v>28.8</x:v>
      </x:c>
      <x:c r="I16" s="37" t="n">
        <x:f>IF('迁盟总表'!I210="","",'迁盟总表'!I210)</x:f>
        <x:v>27.9</x:v>
      </x:c>
      <x:c r="J16" s="40" t="n">
        <x:f>IF('迁盟总表'!J210="","",'迁盟总表'!J210)</x:f>
        <x:v>746</x:v>
      </x:c>
      <x:c r="K16" s="40" t="n">
        <x:f>IF('迁盟总表'!K210="","",'迁盟总表'!K210)</x:f>
        <x:v>940</x:v>
      </x:c>
      <x:c r="L16" s="40" t="n">
        <x:f>IF('迁盟总表'!L210="","",'迁盟总表'!L210)</x:f>
        <x:v>493</x:v>
      </x:c>
      <x:c r="M16" s="40" t="n">
        <x:f>IF('迁盟总表'!M210="","",'迁盟总表'!M210)</x:f>
        <x:v>426</x:v>
      </x:c>
      <x:c r="N16" s="40" t="n">
        <x:f>IF('迁盟总表'!N210="","",'迁盟总表'!N210)</x:f>
        <x:v>669</x:v>
      </x:c>
      <x:c r="O16" s="40" t="n">
        <x:f>IF('迁盟总表'!O210="","",'迁盟总表'!O210)</x:f>
        <x:v>696</x:v>
      </x:c>
      <x:c r="P16" s="40" t="n">
        <x:f>IF('迁盟总表'!P210="","",'迁盟总表'!P210)</x:f>
        <x:v>3970</x:v>
      </x:c>
      <x:c r="Q16" s="43" t="n">
        <x:f>IF('迁盟总表'!X210="","",'迁盟总表'!X210)</x:f>
        <x:v>76.8</x:v>
      </x:c>
      <x:c r="R16" s="27" t="n">
        <x:f>IF('迁盟总表'!Y210="","",'迁盟总表'!Y210)</x:f>
        <x:v>68</x:v>
      </x:c>
      <x:c r="S16" s="55" t="str">
        <x:f>IF('迁盟总表'!Z210="","",'迁盟总表'!Z210)</x:f>
        <x:v>保持当前盟，减少迁移成本</x:v>
      </x:c>
    </x:row>
    <x:row r="17" ht="20" customHeight="1">
      <x:c r="A17" s="26" t="str">
        <x:f>IF('迁盟总表'!B211="","",'迁盟总表'!B211)</x:f>
        <x:v>风吹淡淡的疼</x:v>
      </x:c>
      <x:c r="B17" s="27" t="str">
        <x:f>IF('迁盟总表'!C211="","",'迁盟总表'!C211)</x:f>
        <x:v>玲珑</x:v>
      </x:c>
      <x:c r="C17" s="64" t="str">
        <x:f>IF('迁盟总表'!D211="","",'迁盟总表'!D211)</x:f>
        <x:v>玲珑</x:v>
      </x:c>
      <x:c r="D17" s="27" t="str">
        <x:f>IF('迁盟总表'!E211="","",'迁盟总表'!E211)</x:f>
        <x:v>留盟</x:v>
      </x:c>
      <x:c r="E17" s="40" t="n">
        <x:f>IF('迁盟总表'!Q211="","",'迁盟总表'!Q211)</x:f>
        <x:v>4839524314</x:v>
      </x:c>
      <x:c r="F17" s="40" t="n">
        <x:f>IF('迁盟总表'!R211="","",'迁盟总表'!R211)</x:f>
        <x:v>91698153</x:v>
      </x:c>
      <x:c r="G17" s="40" t="n">
        <x:f>IF('迁盟总表'!S211="","",'迁盟总表'!S211)</x:f>
        <x:v>282322788</x:v>
      </x:c>
      <x:c r="H17" s="37" t="n">
        <x:f>IF('迁盟总表'!H211="","",'迁盟总表'!H211)</x:f>
        <x:v>25.3</x:v>
      </x:c>
      <x:c r="I17" s="37" t="n">
        <x:f>IF('迁盟总表'!I211="","",'迁盟总表'!I211)</x:f>
        <x:v>25.3</x:v>
      </x:c>
      <x:c r="J17" s="40" t="n">
        <x:f>IF('迁盟总表'!J211="","",'迁盟总表'!J211)</x:f>
        <x:v>729</x:v>
      </x:c>
      <x:c r="K17" s="40" t="n">
        <x:f>IF('迁盟总表'!K211="","",'迁盟总表'!K211)</x:f>
        <x:v>891</x:v>
      </x:c>
      <x:c r="L17" s="40" t="n">
        <x:f>IF('迁盟总表'!L211="","",'迁盟总表'!L211)</x:f>
        <x:v>654</x:v>
      </x:c>
      <x:c r="M17" s="40" t="n">
        <x:f>IF('迁盟总表'!M211="","",'迁盟总表'!M211)</x:f>
        <x:v>559</x:v>
      </x:c>
      <x:c r="N17" s="40" t="n">
        <x:f>IF('迁盟总表'!N211="","",'迁盟总表'!N211)</x:f>
        <x:v>671</x:v>
      </x:c>
      <x:c r="O17" s="40" t="n">
        <x:f>IF('迁盟总表'!O211="","",'迁盟总表'!O211)</x:f>
        <x:v>646</x:v>
      </x:c>
      <x:c r="P17" s="40" t="n">
        <x:f>IF('迁盟总表'!P211="","",'迁盟总表'!P211)</x:f>
        <x:v>4150</x:v>
      </x:c>
      <x:c r="Q17" s="43" t="n">
        <x:f>IF('迁盟总表'!X211="","",'迁盟总表'!X211)</x:f>
        <x:v>76.6</x:v>
      </x:c>
      <x:c r="R17" s="27" t="n">
        <x:f>IF('迁盟总表'!Y211="","",'迁盟总表'!Y211)</x:f>
        <x:v>73</x:v>
      </x:c>
      <x:c r="S17" s="55" t="str">
        <x:f>IF('迁盟总表'!Z211="","",'迁盟总表'!Z211)</x:f>
        <x:v>保持当前盟，减少迁移成本</x:v>
      </x:c>
    </x:row>
    <x:row r="18" ht="20" customHeight="1">
      <x:c r="A18" s="26" t="str">
        <x:f>IF('迁盟总表'!B212="","",'迁盟总表'!B212)</x:f>
        <x:v>唐宋元明清</x:v>
      </x:c>
      <x:c r="B18" s="27" t="str">
        <x:f>IF('迁盟总表'!C212="","",'迁盟总表'!C212)</x:f>
        <x:v>玲珑</x:v>
      </x:c>
      <x:c r="C18" s="64" t="str">
        <x:f>IF('迁盟总表'!D212="","",'迁盟总表'!D212)</x:f>
        <x:v>玲珑</x:v>
      </x:c>
      <x:c r="D18" s="27" t="str">
        <x:f>IF('迁盟总表'!E212="","",'迁盟总表'!E212)</x:f>
        <x:v>留盟</x:v>
      </x:c>
      <x:c r="E18" s="40" t="n">
        <x:f>IF('迁盟总表'!Q212="","",'迁盟总表'!Q212)</x:f>
        <x:v>2648791690</x:v>
      </x:c>
      <x:c r="F18" s="40" t="n">
        <x:f>IF('迁盟总表'!R212="","",'迁盟总表'!R212)</x:f>
        <x:v>89847518</x:v>
      </x:c>
      <x:c r="G18" s="40" t="n">
        <x:f>IF('迁盟总表'!S212="","",'迁盟总表'!S212)</x:f>
        <x:v>292083401</x:v>
      </x:c>
      <x:c r="H18" s="37" t="str">
        <x:f>IF('迁盟总表'!H212="","",'迁盟总表'!H212)</x:f>
      </x:c>
      <x:c r="I18" s="37" t="str">
        <x:f>IF('迁盟总表'!I212="","",'迁盟总表'!I212)</x:f>
      </x:c>
      <x:c r="J18" s="40" t="str">
        <x:f>IF('迁盟总表'!J212="","",'迁盟总表'!J212)</x:f>
      </x:c>
      <x:c r="K18" s="40" t="str">
        <x:f>IF('迁盟总表'!K212="","",'迁盟总表'!K212)</x:f>
      </x:c>
      <x:c r="L18" s="40" t="str">
        <x:f>IF('迁盟总表'!L212="","",'迁盟总表'!L212)</x:f>
      </x:c>
      <x:c r="M18" s="40" t="str">
        <x:f>IF('迁盟总表'!M212="","",'迁盟总表'!M212)</x:f>
      </x:c>
      <x:c r="N18" s="40" t="str">
        <x:f>IF('迁盟总表'!N212="","",'迁盟总表'!N212)</x:f>
      </x:c>
      <x:c r="O18" s="40" t="str">
        <x:f>IF('迁盟总表'!O212="","",'迁盟总表'!O212)</x:f>
      </x:c>
      <x:c r="P18" s="40" t="str">
        <x:f>IF('迁盟总表'!P212="","",'迁盟总表'!P212)</x:f>
      </x:c>
      <x:c r="Q18" s="43" t="n">
        <x:f>IF('迁盟总表'!X212="","",'迁盟总表'!X212)</x:f>
        <x:v>76.5</x:v>
      </x:c>
      <x:c r="R18" s="27" t="n">
        <x:f>IF('迁盟总表'!Y212="","",'迁盟总表'!Y212)</x:f>
        <x:v>75</x:v>
      </x:c>
      <x:c r="S18" s="55" t="str">
        <x:f>IF('迁盟总表'!Z212="","",'迁盟总表'!Z212)</x:f>
        <x:v>保持当前盟，减少迁移成本</x:v>
      </x:c>
    </x:row>
    <x:row r="19" ht="20" customHeight="1">
      <x:c r="A19" s="26" t="str">
        <x:f>IF('迁盟总表'!B213="","",'迁盟总表'!B213)</x:f>
        <x:v>那年十八</x:v>
      </x:c>
      <x:c r="B19" s="27" t="str">
        <x:f>IF('迁盟总表'!C213="","",'迁盟总表'!C213)</x:f>
        <x:v>玲珑</x:v>
      </x:c>
      <x:c r="C19" s="64" t="str">
        <x:f>IF('迁盟总表'!D213="","",'迁盟总表'!D213)</x:f>
        <x:v>玲珑</x:v>
      </x:c>
      <x:c r="D19" s="27" t="str">
        <x:f>IF('迁盟总表'!E213="","",'迁盟总表'!E213)</x:f>
        <x:v>留盟</x:v>
      </x:c>
      <x:c r="E19" s="40" t="n">
        <x:f>IF('迁盟总表'!Q213="","",'迁盟总表'!Q213)</x:f>
        <x:v>3401620488</x:v>
      </x:c>
      <x:c r="F19" s="40" t="n">
        <x:f>IF('迁盟总表'!R213="","",'迁盟总表'!R213)</x:f>
        <x:v>92073936</x:v>
      </x:c>
      <x:c r="G19" s="40" t="n">
        <x:f>IF('迁盟总表'!S213="","",'迁盟总表'!S213)</x:f>
        <x:v>253821939</x:v>
      </x:c>
      <x:c r="H19" s="37" t="str">
        <x:f>IF('迁盟总表'!H213="","",'迁盟总表'!H213)</x:f>
      </x:c>
      <x:c r="I19" s="37" t="str">
        <x:f>IF('迁盟总表'!I213="","",'迁盟总表'!I213)</x:f>
      </x:c>
      <x:c r="J19" s="40" t="str">
        <x:f>IF('迁盟总表'!J213="","",'迁盟总表'!J213)</x:f>
      </x:c>
      <x:c r="K19" s="40" t="str">
        <x:f>IF('迁盟总表'!K213="","",'迁盟总表'!K213)</x:f>
      </x:c>
      <x:c r="L19" s="40" t="str">
        <x:f>IF('迁盟总表'!L213="","",'迁盟总表'!L213)</x:f>
      </x:c>
      <x:c r="M19" s="40" t="str">
        <x:f>IF('迁盟总表'!M213="","",'迁盟总表'!M213)</x:f>
      </x:c>
      <x:c r="N19" s="40" t="str">
        <x:f>IF('迁盟总表'!N213="","",'迁盟总表'!N213)</x:f>
      </x:c>
      <x:c r="O19" s="40" t="str">
        <x:f>IF('迁盟总表'!O213="","",'迁盟总表'!O213)</x:f>
      </x:c>
      <x:c r="P19" s="40" t="str">
        <x:f>IF('迁盟总表'!P213="","",'迁盟总表'!P213)</x:f>
      </x:c>
      <x:c r="Q19" s="43" t="n">
        <x:f>IF('迁盟总表'!X213="","",'迁盟总表'!X213)</x:f>
        <x:v>76.4</x:v>
      </x:c>
      <x:c r="R19" s="27" t="n">
        <x:f>IF('迁盟总表'!Y213="","",'迁盟总表'!Y213)</x:f>
        <x:v>77</x:v>
      </x:c>
      <x:c r="S19" s="55" t="str">
        <x:f>IF('迁盟总表'!Z213="","",'迁盟总表'!Z213)</x:f>
        <x:v>保持当前盟，减少迁移成本</x:v>
      </x:c>
    </x:row>
    <x:row r="20" ht="20" customHeight="1">
      <x:c r="A20" s="26" t="str">
        <x:f>IF('迁盟总表'!B214="","",'迁盟总表'!B214)</x:f>
        <x:v>毛酷比</x:v>
      </x:c>
      <x:c r="B20" s="27" t="str">
        <x:f>IF('迁盟总表'!C214="","",'迁盟总表'!C214)</x:f>
        <x:v>玲珑</x:v>
      </x:c>
      <x:c r="C20" s="64" t="str">
        <x:f>IF('迁盟总表'!D214="","",'迁盟总表'!D214)</x:f>
        <x:v>玲珑</x:v>
      </x:c>
      <x:c r="D20" s="27" t="str">
        <x:f>IF('迁盟总表'!E214="","",'迁盟总表'!E214)</x:f>
        <x:v>留盟</x:v>
      </x:c>
      <x:c r="E20" s="40" t="n">
        <x:f>IF('迁盟总表'!Q214="","",'迁盟总表'!Q214)</x:f>
        <x:v>2222932536</x:v>
      </x:c>
      <x:c r="F20" s="40" t="n">
        <x:f>IF('迁盟总表'!R214="","",'迁盟总表'!R214)</x:f>
        <x:v>92709731</x:v>
      </x:c>
      <x:c r="G20" s="40" t="n">
        <x:f>IF('迁盟总表'!S214="","",'迁盟总表'!S214)</x:f>
        <x:v>292775450</x:v>
      </x:c>
      <x:c r="H20" s="37" t="n">
        <x:f>IF('迁盟总表'!H214="","",'迁盟总表'!H214)</x:f>
        <x:v>28.8</x:v>
      </x:c>
      <x:c r="I20" s="37" t="n">
        <x:f>IF('迁盟总表'!I214="","",'迁盟总表'!I214)</x:f>
        <x:v>28.8</x:v>
      </x:c>
      <x:c r="J20" s="40" t="n">
        <x:f>IF('迁盟总表'!J214="","",'迁盟总表'!J214)</x:f>
        <x:v>775</x:v>
      </x:c>
      <x:c r="K20" s="40" t="n">
        <x:f>IF('迁盟总表'!K214="","",'迁盟总表'!K214)</x:f>
        <x:v>872</x:v>
      </x:c>
      <x:c r="L20" s="40" t="n">
        <x:f>IF('迁盟总表'!L214="","",'迁盟总表'!L214)</x:f>
        <x:v>661</x:v>
      </x:c>
      <x:c r="M20" s="40" t="n">
        <x:f>IF('迁盟总表'!M214="","",'迁盟总表'!M214)</x:f>
        <x:v>615</x:v>
      </x:c>
      <x:c r="N20" s="40" t="n">
        <x:f>IF('迁盟总表'!N214="","",'迁盟总表'!N214)</x:f>
        <x:v>740</x:v>
      </x:c>
      <x:c r="O20" s="40" t="n">
        <x:f>IF('迁盟总表'!O214="","",'迁盟总表'!O214)</x:f>
        <x:v>799</x:v>
      </x:c>
      <x:c r="P20" s="40" t="n">
        <x:f>IF('迁盟总表'!P214="","",'迁盟总表'!P214)</x:f>
        <x:v>4462</x:v>
      </x:c>
      <x:c r="Q20" s="43" t="n">
        <x:f>IF('迁盟总表'!X214="","",'迁盟总表'!X214)</x:f>
        <x:v>76.3</x:v>
      </x:c>
      <x:c r="R20" s="27" t="n">
        <x:f>IF('迁盟总表'!Y214="","",'迁盟总表'!Y214)</x:f>
        <x:v>79</x:v>
      </x:c>
      <x:c r="S20" s="55" t="str">
        <x:f>IF('迁盟总表'!Z214="","",'迁盟总表'!Z214)</x:f>
        <x:v>保持当前盟，减少迁移成本</x:v>
      </x:c>
    </x:row>
    <x:row r="21" ht="20" customHeight="1">
      <x:c r="A21" s="26" t="str">
        <x:f>IF('迁盟总表'!B215="","",'迁盟总表'!B215)</x:f>
        <x:v>锦鲤争锋送好运</x:v>
      </x:c>
      <x:c r="B21" s="27" t="str">
        <x:f>IF('迁盟总表'!C215="","",'迁盟总表'!C215)</x:f>
        <x:v>玲珑</x:v>
      </x:c>
      <x:c r="C21" s="64" t="str">
        <x:f>IF('迁盟总表'!D215="","",'迁盟总表'!D215)</x:f>
        <x:v>玲珑</x:v>
      </x:c>
      <x:c r="D21" s="27" t="str">
        <x:f>IF('迁盟总表'!E215="","",'迁盟总表'!E215)</x:f>
        <x:v>留盟</x:v>
      </x:c>
      <x:c r="E21" s="40" t="n">
        <x:f>IF('迁盟总表'!Q215="","",'迁盟总表'!Q215)</x:f>
        <x:v>4702046414</x:v>
      </x:c>
      <x:c r="F21" s="40" t="n">
        <x:f>IF('迁盟总表'!R215="","",'迁盟总表'!R215)</x:f>
        <x:v>88346150</x:v>
      </x:c>
      <x:c r="G21" s="40" t="n">
        <x:f>IF('迁盟总表'!S215="","",'迁盟总表'!S215)</x:f>
        <x:v>307379545</x:v>
      </x:c>
      <x:c r="H21" s="37" t="n">
        <x:f>IF('迁盟总表'!H215="","",'迁盟总表'!H215)</x:f>
        <x:v>24.9</x:v>
      </x:c>
      <x:c r="I21" s="37" t="n">
        <x:f>IF('迁盟总表'!I215="","",'迁盟总表'!I215)</x:f>
        <x:v>23.9</x:v>
      </x:c>
      <x:c r="J21" s="40" t="n">
        <x:f>IF('迁盟总表'!J215="","",'迁盟总表'!J215)</x:f>
        <x:v>668</x:v>
      </x:c>
      <x:c r="K21" s="40" t="n">
        <x:f>IF('迁盟总表'!K215="","",'迁盟总表'!K215)</x:f>
        <x:v>720</x:v>
      </x:c>
      <x:c r="L21" s="40" t="n">
        <x:f>IF('迁盟总表'!L215="","",'迁盟总表'!L215)</x:f>
        <x:v>573</x:v>
      </x:c>
      <x:c r="M21" s="40" t="n">
        <x:f>IF('迁盟总表'!M215="","",'迁盟总表'!M215)</x:f>
        <x:v>640</x:v>
      </x:c>
      <x:c r="N21" s="40" t="n">
        <x:f>IF('迁盟总表'!N215="","",'迁盟总表'!N215)</x:f>
        <x:v>699</x:v>
      </x:c>
      <x:c r="O21" s="40" t="n">
        <x:f>IF('迁盟总表'!O215="","",'迁盟总表'!O215)</x:f>
        <x:v>744</x:v>
      </x:c>
      <x:c r="P21" s="40" t="n">
        <x:f>IF('迁盟总表'!P215="","",'迁盟总表'!P215)</x:f>
        <x:v>4044</x:v>
      </x:c>
      <x:c r="Q21" s="43" t="n">
        <x:f>IF('迁盟总表'!X215="","",'迁盟总表'!X215)</x:f>
        <x:v>76.2</x:v>
      </x:c>
      <x:c r="R21" s="27" t="n">
        <x:f>IF('迁盟总表'!Y215="","",'迁盟总表'!Y215)</x:f>
        <x:v>81</x:v>
      </x:c>
      <x:c r="S21" s="55" t="str">
        <x:f>IF('迁盟总表'!Z215="","",'迁盟总表'!Z215)</x:f>
        <x:v>保持当前盟，减少迁移成本</x:v>
      </x:c>
    </x:row>
    <x:row r="22" ht="20" customHeight="1">
      <x:c r="A22" s="26" t="str">
        <x:f>IF('迁盟总表'!B216="","",'迁盟总表'!B216)</x:f>
        <x:v>金戈铁马</x:v>
      </x:c>
      <x:c r="B22" s="27" t="str">
        <x:f>IF('迁盟总表'!C216="","",'迁盟总表'!C216)</x:f>
        <x:v>玲珑</x:v>
      </x:c>
      <x:c r="C22" s="64" t="str">
        <x:f>IF('迁盟总表'!D216="","",'迁盟总表'!D216)</x:f>
        <x:v>玲珑</x:v>
      </x:c>
      <x:c r="D22" s="27" t="str">
        <x:f>IF('迁盟总表'!E216="","",'迁盟总表'!E216)</x:f>
        <x:v>留盟</x:v>
      </x:c>
      <x:c r="E22" s="40" t="n">
        <x:f>IF('迁盟总表'!Q216="","",'迁盟总表'!Q216)</x:f>
        <x:v>6296660048</x:v>
      </x:c>
      <x:c r="F22" s="40" t="n">
        <x:f>IF('迁盟总表'!R216="","",'迁盟总表'!R216)</x:f>
        <x:v>89345091</x:v>
      </x:c>
      <x:c r="G22" s="40" t="n">
        <x:f>IF('迁盟总表'!S216="","",'迁盟总表'!S216)</x:f>
        <x:v>263673964</x:v>
      </x:c>
      <x:c r="H22" s="37" t="n">
        <x:f>IF('迁盟总表'!H216="","",'迁盟总表'!H216)</x:f>
        <x:v>28.8</x:v>
      </x:c>
      <x:c r="I22" s="37" t="n">
        <x:f>IF('迁盟总表'!I216="","",'迁盟总表'!I216)</x:f>
        <x:v>28.4</x:v>
      </x:c>
      <x:c r="J22" s="40" t="n">
        <x:f>IF('迁盟总表'!J216="","",'迁盟总表'!J216)</x:f>
        <x:v>791</x:v>
      </x:c>
      <x:c r="K22" s="40" t="n">
        <x:f>IF('迁盟总表'!K216="","",'迁盟总表'!K216)</x:f>
        <x:v>850</x:v>
      </x:c>
      <x:c r="L22" s="40" t="n">
        <x:f>IF('迁盟总表'!L216="","",'迁盟总表'!L216)</x:f>
        <x:v>588</x:v>
      </x:c>
      <x:c r="M22" s="40" t="n">
        <x:f>IF('迁盟总表'!M216="","",'迁盟总表'!M216)</x:f>
        <x:v>555</x:v>
      </x:c>
      <x:c r="N22" s="40" t="n">
        <x:f>IF('迁盟总表'!N216="","",'迁盟总表'!N216)</x:f>
        <x:v>754</x:v>
      </x:c>
      <x:c r="O22" s="40" t="n">
        <x:f>IF('迁盟总表'!O216="","",'迁盟总表'!O216)</x:f>
        <x:v>789</x:v>
      </x:c>
      <x:c r="P22" s="40" t="n">
        <x:f>IF('迁盟总表'!P216="","",'迁盟总表'!P216)</x:f>
        <x:v>4327</x:v>
      </x:c>
      <x:c r="Q22" s="43" t="n">
        <x:f>IF('迁盟总表'!X216="","",'迁盟总表'!X216)</x:f>
        <x:v>76.2</x:v>
      </x:c>
      <x:c r="R22" s="27" t="n">
        <x:f>IF('迁盟总表'!Y216="","",'迁盟总表'!Y216)</x:f>
        <x:v>81</x:v>
      </x:c>
      <x:c r="S22" s="55" t="str">
        <x:f>IF('迁盟总表'!Z216="","",'迁盟总表'!Z216)</x:f>
        <x:v>保持当前盟，减少迁移成本</x:v>
      </x:c>
    </x:row>
    <x:row r="23" ht="20" customHeight="1">
      <x:c r="A23" s="26" t="str">
        <x:f>IF('迁盟总表'!B217="","",'迁盟总表'!B217)</x:f>
        <x:v>玩泥巴的真真</x:v>
      </x:c>
      <x:c r="B23" s="27" t="str">
        <x:f>IF('迁盟总表'!C217="","",'迁盟总表'!C217)</x:f>
        <x:v>玲珑</x:v>
      </x:c>
      <x:c r="C23" s="64" t="str">
        <x:f>IF('迁盟总表'!D217="","",'迁盟总表'!D217)</x:f>
        <x:v>玲珑</x:v>
      </x:c>
      <x:c r="D23" s="27" t="str">
        <x:f>IF('迁盟总表'!E217="","",'迁盟总表'!E217)</x:f>
        <x:v>留盟</x:v>
      </x:c>
      <x:c r="E23" s="40" t="n">
        <x:f>IF('迁盟总表'!Q217="","",'迁盟总表'!Q217)</x:f>
        <x:v>3812396984</x:v>
      </x:c>
      <x:c r="F23" s="40" t="n">
        <x:f>IF('迁盟总表'!R217="","",'迁盟总表'!R217)</x:f>
        <x:v>87265862</x:v>
      </x:c>
      <x:c r="G23" s="40" t="n">
        <x:f>IF('迁盟总表'!S217="","",'迁盟总表'!S217)</x:f>
        <x:v>341735864</x:v>
      </x:c>
      <x:c r="H23" s="37" t="n">
        <x:f>IF('迁盟总表'!H217="","",'迁盟总表'!H217)</x:f>
        <x:v>24.5</x:v>
      </x:c>
      <x:c r="I23" s="37" t="n">
        <x:f>IF('迁盟总表'!I217="","",'迁盟总表'!I217)</x:f>
        <x:v>19.5</x:v>
      </x:c>
      <x:c r="J23" s="40" t="n">
        <x:f>IF('迁盟总表'!J217="","",'迁盟总表'!J217)</x:f>
        <x:v>692</x:v>
      </x:c>
      <x:c r="K23" s="40" t="n">
        <x:f>IF('迁盟总表'!K217="","",'迁盟总表'!K217)</x:f>
        <x:v>672</x:v>
      </x:c>
      <x:c r="L23" s="40" t="n">
        <x:f>IF('迁盟总表'!L217="","",'迁盟总表'!L217)</x:f>
        <x:v>566</x:v>
      </x:c>
      <x:c r="M23" s="40" t="n">
        <x:f>IF('迁盟总表'!M217="","",'迁盟总表'!M217)</x:f>
        <x:v>506</x:v>
      </x:c>
      <x:c r="N23" s="40" t="n">
        <x:f>IF('迁盟总表'!N217="","",'迁盟总表'!N217)</x:f>
        <x:v>611</x:v>
      </x:c>
      <x:c r="O23" s="40" t="n">
        <x:f>IF('迁盟总表'!O217="","",'迁盟总表'!O217)</x:f>
        <x:v>715</x:v>
      </x:c>
      <x:c r="P23" s="40" t="n">
        <x:f>IF('迁盟总表'!P217="","",'迁盟总表'!P217)</x:f>
        <x:v>3762</x:v>
      </x:c>
      <x:c r="Q23" s="43" t="n">
        <x:f>IF('迁盟总表'!X217="","",'迁盟总表'!X217)</x:f>
        <x:v>76.2</x:v>
      </x:c>
      <x:c r="R23" s="27" t="n">
        <x:f>IF('迁盟总表'!Y217="","",'迁盟总表'!Y217)</x:f>
        <x:v>81</x:v>
      </x:c>
      <x:c r="S23" s="55" t="str">
        <x:f>IF('迁盟总表'!Z217="","",'迁盟总表'!Z217)</x:f>
        <x:v>保持当前盟，减少迁移成本</x:v>
      </x:c>
    </x:row>
    <x:row r="24" ht="20" customHeight="1">
      <x:c r="A24" s="26" t="str">
        <x:f>IF('迁盟总表'!B218="","",'迁盟总表'!B218)</x:f>
        <x:v>夏小白</x:v>
      </x:c>
      <x:c r="B24" s="27" t="str">
        <x:f>IF('迁盟总表'!C218="","",'迁盟总表'!C218)</x:f>
        <x:v>玲珑</x:v>
      </x:c>
      <x:c r="C24" s="64" t="str">
        <x:f>IF('迁盟总表'!D218="","",'迁盟总表'!D218)</x:f>
        <x:v>玲珑</x:v>
      </x:c>
      <x:c r="D24" s="27" t="str">
        <x:f>IF('迁盟总表'!E218="","",'迁盟总表'!E218)</x:f>
        <x:v>留盟</x:v>
      </x:c>
      <x:c r="E24" s="40" t="n">
        <x:f>IF('迁盟总表'!Q218="","",'迁盟总表'!Q218)</x:f>
        <x:v>5872950154</x:v>
      </x:c>
      <x:c r="F24" s="40" t="n">
        <x:f>IF('迁盟总表'!R218="","",'迁盟总表'!R218)</x:f>
        <x:v>90069468</x:v>
      </x:c>
      <x:c r="G24" s="40" t="n">
        <x:f>IF('迁盟总表'!S218="","",'迁盟总表'!S218)</x:f>
        <x:v>250604621</x:v>
      </x:c>
      <x:c r="H24" s="37" t="n">
        <x:f>IF('迁盟总表'!H218="","",'迁盟总表'!H218)</x:f>
        <x:v>28.8</x:v>
      </x:c>
      <x:c r="I24" s="37" t="n">
        <x:f>IF('迁盟总表'!I218="","",'迁盟总表'!I218)</x:f>
        <x:v>28.8</x:v>
      </x:c>
      <x:c r="J24" s="40" t="n">
        <x:f>IF('迁盟总表'!J218="","",'迁盟总表'!J218)</x:f>
        <x:v>796</x:v>
      </x:c>
      <x:c r="K24" s="40" t="n">
        <x:f>IF('迁盟总表'!K218="","",'迁盟总表'!K218)</x:f>
        <x:v>894</x:v>
      </x:c>
      <x:c r="L24" s="40" t="n">
        <x:f>IF('迁盟总表'!L218="","",'迁盟总表'!L218)</x:f>
        <x:v>694</x:v>
      </x:c>
      <x:c r="M24" s="40" t="n">
        <x:f>IF('迁盟总表'!M218="","",'迁盟总表'!M218)</x:f>
        <x:v>651</x:v>
      </x:c>
      <x:c r="N24" s="40" t="n">
        <x:f>IF('迁盟总表'!N218="","",'迁盟总表'!N218)</x:f>
        <x:v>710</x:v>
      </x:c>
      <x:c r="O24" s="40" t="n">
        <x:f>IF('迁盟总表'!O218="","",'迁盟总表'!O218)</x:f>
        <x:v>779</x:v>
      </x:c>
      <x:c r="P24" s="40" t="n">
        <x:f>IF('迁盟总表'!P218="","",'迁盟总表'!P218)</x:f>
        <x:v>4524</x:v>
      </x:c>
      <x:c r="Q24" s="43" t="n">
        <x:f>IF('迁盟总表'!X218="","",'迁盟总表'!X218)</x:f>
        <x:v>76.2</x:v>
      </x:c>
      <x:c r="R24" s="27" t="n">
        <x:f>IF('迁盟总表'!Y218="","",'迁盟总表'!Y218)</x:f>
        <x:v>81</x:v>
      </x:c>
      <x:c r="S24" s="55" t="str">
        <x:f>IF('迁盟总表'!Z218="","",'迁盟总表'!Z218)</x:f>
        <x:v>保持当前盟，减少迁移成本</x:v>
      </x:c>
    </x:row>
    <x:row r="25" ht="20" customHeight="1">
      <x:c r="A25" s="26" t="str">
        <x:f>IF('迁盟总表'!B219="","",'迁盟总表'!B219)</x:f>
        <x:v>三国乱世枭雄</x:v>
      </x:c>
      <x:c r="B25" s="27" t="str">
        <x:f>IF('迁盟总表'!C219="","",'迁盟总表'!C219)</x:f>
        <x:v>玲珑</x:v>
      </x:c>
      <x:c r="C25" s="64" t="str">
        <x:f>IF('迁盟总表'!D219="","",'迁盟总表'!D219)</x:f>
        <x:v>玲珑</x:v>
      </x:c>
      <x:c r="D25" s="27" t="str">
        <x:f>IF('迁盟总表'!E219="","",'迁盟总表'!E219)</x:f>
        <x:v>留盟</x:v>
      </x:c>
      <x:c r="E25" s="40" t="n">
        <x:f>IF('迁盟总表'!Q219="","",'迁盟总表'!Q219)</x:f>
        <x:v>5743146712</x:v>
      </x:c>
      <x:c r="F25" s="40" t="n">
        <x:f>IF('迁盟总表'!R219="","",'迁盟总表'!R219)</x:f>
        <x:v>87745843</x:v>
      </x:c>
      <x:c r="G25" s="40" t="n">
        <x:f>IF('迁盟总表'!S219="","",'迁盟总表'!S219)</x:f>
        <x:v>297169118</x:v>
      </x:c>
      <x:c r="H25" s="37" t="n">
        <x:f>IF('迁盟总表'!H219="","",'迁盟总表'!H219)</x:f>
        <x:v>28.8</x:v>
      </x:c>
      <x:c r="I25" s="37" t="n">
        <x:f>IF('迁盟总表'!I219="","",'迁盟总表'!I219)</x:f>
        <x:v>28.8</x:v>
      </x:c>
      <x:c r="J25" s="40" t="n">
        <x:f>IF('迁盟总表'!J219="","",'迁盟总表'!J219)</x:f>
        <x:v>757</x:v>
      </x:c>
      <x:c r="K25" s="40" t="n">
        <x:f>IF('迁盟总表'!K219="","",'迁盟总表'!K219)</x:f>
        <x:v>886</x:v>
      </x:c>
      <x:c r="L25" s="40" t="n">
        <x:f>IF('迁盟总表'!L219="","",'迁盟总表'!L219)</x:f>
        <x:v>432</x:v>
      </x:c>
      <x:c r="M25" s="40" t="n">
        <x:f>IF('迁盟总表'!M219="","",'迁盟总表'!M219)</x:f>
        <x:v>325</x:v>
      </x:c>
      <x:c r="N25" s="40" t="n">
        <x:f>IF('迁盟总表'!N219="","",'迁盟总表'!N219)</x:f>
        <x:v>698</x:v>
      </x:c>
      <x:c r="O25" s="40" t="n">
        <x:f>IF('迁盟总表'!O219="","",'迁盟总表'!O219)</x:f>
        <x:v>737</x:v>
      </x:c>
      <x:c r="P25" s="40" t="n">
        <x:f>IF('迁盟总表'!P219="","",'迁盟总表'!P219)</x:f>
        <x:v>3835</x:v>
      </x:c>
      <x:c r="Q25" s="43" t="n">
        <x:f>IF('迁盟总表'!X219="","",'迁盟总表'!X219)</x:f>
        <x:v>75.8</x:v>
      </x:c>
      <x:c r="R25" s="27" t="n">
        <x:f>IF('迁盟总表'!Y219="","",'迁盟总表'!Y219)</x:f>
        <x:v>89</x:v>
      </x:c>
      <x:c r="S25" s="55" t="str">
        <x:f>IF('迁盟总表'!Z219="","",'迁盟总表'!Z219)</x:f>
        <x:v>保持当前盟，减少迁移成本</x:v>
      </x:c>
    </x:row>
    <x:row r="26" ht="20" customHeight="1">
      <x:c r="A26" s="26" t="str">
        <x:f>IF('迁盟总表'!B220="","",'迁盟总表'!B220)</x:f>
        <x:v>你行你上</x:v>
      </x:c>
      <x:c r="B26" s="27" t="str">
        <x:f>IF('迁盟总表'!C220="","",'迁盟总表'!C220)</x:f>
        <x:v>玲珑</x:v>
      </x:c>
      <x:c r="C26" s="64" t="str">
        <x:f>IF('迁盟总表'!D220="","",'迁盟总表'!D220)</x:f>
        <x:v>玲珑</x:v>
      </x:c>
      <x:c r="D26" s="27" t="str">
        <x:f>IF('迁盟总表'!E220="","",'迁盟总表'!E220)</x:f>
        <x:v>留盟</x:v>
      </x:c>
      <x:c r="E26" s="40" t="n">
        <x:f>IF('迁盟总表'!Q220="","",'迁盟总表'!Q220)</x:f>
        <x:v>2042761738</x:v>
      </x:c>
      <x:c r="F26" s="40" t="n">
        <x:f>IF('迁盟总表'!R220="","",'迁盟总表'!R220)</x:f>
        <x:v>90676251</x:v>
      </x:c>
      <x:c r="G26" s="40" t="n">
        <x:f>IF('迁盟总表'!S220="","",'迁盟总表'!S220)</x:f>
        <x:v>286242222</x:v>
      </x:c>
      <x:c r="H26" s="37" t="n">
        <x:f>IF('迁盟总表'!H220="","",'迁盟总表'!H220)</x:f>
        <x:v>28.8</x:v>
      </x:c>
      <x:c r="I26" s="37" t="n">
        <x:f>IF('迁盟总表'!I220="","",'迁盟总表'!I220)</x:f>
        <x:v>28.8</x:v>
      </x:c>
      <x:c r="J26" s="40" t="n">
        <x:f>IF('迁盟总表'!J220="","",'迁盟总表'!J220)</x:f>
        <x:v>820</x:v>
      </x:c>
      <x:c r="K26" s="40" t="n">
        <x:f>IF('迁盟总表'!K220="","",'迁盟总表'!K220)</x:f>
        <x:v>830</x:v>
      </x:c>
      <x:c r="L26" s="40" t="n">
        <x:f>IF('迁盟总表'!L220="","",'迁盟总表'!L220)</x:f>
        <x:v>800</x:v>
      </x:c>
      <x:c r="M26" s="40" t="n">
        <x:f>IF('迁盟总表'!M220="","",'迁盟总表'!M220)</x:f>
        <x:v>600</x:v>
      </x:c>
      <x:c r="N26" s="40" t="n">
        <x:f>IF('迁盟总表'!N220="","",'迁盟总表'!N220)</x:f>
        <x:v>800</x:v>
      </x:c>
      <x:c r="O26" s="40" t="n">
        <x:f>IF('迁盟总表'!O220="","",'迁盟总表'!O220)</x:f>
        <x:v>820</x:v>
      </x:c>
      <x:c r="P26" s="40" t="n">
        <x:f>IF('迁盟总表'!P220="","",'迁盟总表'!P220)</x:f>
        <x:v>4670</x:v>
      </x:c>
      <x:c r="Q26" s="43" t="n">
        <x:f>IF('迁盟总表'!X220="","",'迁盟总表'!X220)</x:f>
        <x:v>75.8</x:v>
      </x:c>
      <x:c r="R26" s="27" t="n">
        <x:f>IF('迁盟总表'!Y220="","",'迁盟总表'!Y220)</x:f>
        <x:v>89</x:v>
      </x:c>
      <x:c r="S26" s="55" t="str">
        <x:f>IF('迁盟总表'!Z220="","",'迁盟总表'!Z220)</x:f>
        <x:v>保持当前盟，减少迁移成本</x:v>
      </x:c>
    </x:row>
    <x:row r="27" ht="20" customHeight="1">
      <x:c r="A27" s="26" t="str">
        <x:f>IF('迁盟总表'!B221="","",'迁盟总表'!B221)</x:f>
        <x:v>大漠金乌</x:v>
      </x:c>
      <x:c r="B27" s="27" t="str">
        <x:f>IF('迁盟总表'!C221="","",'迁盟总表'!C221)</x:f>
        <x:v>玲珑</x:v>
      </x:c>
      <x:c r="C27" s="64" t="str">
        <x:f>IF('迁盟总表'!D221="","",'迁盟总表'!D221)</x:f>
        <x:v>玲珑</x:v>
      </x:c>
      <x:c r="D27" s="27" t="str">
        <x:f>IF('迁盟总表'!E221="","",'迁盟总表'!E221)</x:f>
        <x:v>留盟</x:v>
      </x:c>
      <x:c r="E27" s="40" t="n">
        <x:f>IF('迁盟总表'!Q221="","",'迁盟总表'!Q221)</x:f>
        <x:v>1810405668</x:v>
      </x:c>
      <x:c r="F27" s="40" t="n">
        <x:f>IF('迁盟总表'!R221="","",'迁盟总表'!R221)</x:f>
        <x:v>89818142</x:v>
      </x:c>
      <x:c r="G27" s="40" t="n">
        <x:f>IF('迁盟总表'!S221="","",'迁盟总表'!S221)</x:f>
        <x:v>320976948</x:v>
      </x:c>
      <x:c r="H27" s="37" t="n">
        <x:f>IF('迁盟总表'!H221="","",'迁盟总表'!H221)</x:f>
        <x:v>26.7</x:v>
      </x:c>
      <x:c r="I27" s="37" t="n">
        <x:f>IF('迁盟总表'!I221="","",'迁盟总表'!I221)</x:f>
        <x:v>26.7</x:v>
      </x:c>
      <x:c r="J27" s="40" t="n">
        <x:f>IF('迁盟总表'!J221="","",'迁盟总表'!J221)</x:f>
        <x:v>715</x:v>
      </x:c>
      <x:c r="K27" s="40" t="n">
        <x:f>IF('迁盟总表'!K221="","",'迁盟总表'!K221)</x:f>
        <x:v>857</x:v>
      </x:c>
      <x:c r="L27" s="40" t="n">
        <x:f>IF('迁盟总表'!L221="","",'迁盟总表'!L221)</x:f>
        <x:v>653</x:v>
      </x:c>
      <x:c r="M27" s="40" t="n">
        <x:f>IF('迁盟总表'!M221="","",'迁盟总表'!M221)</x:f>
        <x:v>478</x:v>
      </x:c>
      <x:c r="N27" s="40" t="n">
        <x:f>IF('迁盟总表'!N221="","",'迁盟总表'!N221)</x:f>
        <x:v>746</x:v>
      </x:c>
      <x:c r="O27" s="40" t="n">
        <x:f>IF('迁盟总表'!O221="","",'迁盟总表'!O221)</x:f>
        <x:v>738</x:v>
      </x:c>
      <x:c r="P27" s="40" t="n">
        <x:f>IF('迁盟总表'!P221="","",'迁盟总表'!P221)</x:f>
        <x:v>4187</x:v>
      </x:c>
      <x:c r="Q27" s="43" t="n">
        <x:f>IF('迁盟总表'!X221="","",'迁盟总表'!X221)</x:f>
        <x:v>75.6</x:v>
      </x:c>
      <x:c r="R27" s="27" t="n">
        <x:f>IF('迁盟总表'!Y221="","",'迁盟总表'!Y221)</x:f>
        <x:v>97</x:v>
      </x:c>
      <x:c r="S27" s="55" t="str">
        <x:f>IF('迁盟总表'!Z221="","",'迁盟总表'!Z221)</x:f>
        <x:v>保持当前盟，减少迁移成本</x:v>
      </x:c>
    </x:row>
    <x:row r="28" ht="20" customHeight="1">
      <x:c r="A28" s="26" t="str">
        <x:f>IF('迁盟总表'!B222="","",'迁盟总表'!B222)</x:f>
        <x:v>水月镜花</x:v>
      </x:c>
      <x:c r="B28" s="27" t="str">
        <x:f>IF('迁盟总表'!C222="","",'迁盟总表'!C222)</x:f>
        <x:v>玲珑</x:v>
      </x:c>
      <x:c r="C28" s="64" t="str">
        <x:f>IF('迁盟总表'!D222="","",'迁盟总表'!D222)</x:f>
        <x:v>玲珑</x:v>
      </x:c>
      <x:c r="D28" s="27" t="str">
        <x:f>IF('迁盟总表'!E222="","",'迁盟总表'!E222)</x:f>
        <x:v>留盟</x:v>
      </x:c>
      <x:c r="E28" s="40" t="n">
        <x:f>IF('迁盟总表'!Q222="","",'迁盟总表'!Q222)</x:f>
        <x:v>1471014862</x:v>
      </x:c>
      <x:c r="F28" s="40" t="n">
        <x:f>IF('迁盟总表'!R222="","",'迁盟总表'!R222)</x:f>
        <x:v>89702579</x:v>
      </x:c>
      <x:c r="G28" s="40" t="n">
        <x:f>IF('迁盟总表'!S222="","",'迁盟总表'!S222)</x:f>
        <x:v>310155032</x:v>
      </x:c>
      <x:c r="H28" s="37" t="n">
        <x:f>IF('迁盟总表'!H222="","",'迁盟总表'!H222)</x:f>
        <x:v>28.1</x:v>
      </x:c>
      <x:c r="I28" s="37" t="n">
        <x:f>IF('迁盟总表'!I222="","",'迁盟总表'!I222)</x:f>
        <x:v>26.7</x:v>
      </x:c>
      <x:c r="J28" s="40" t="n">
        <x:f>IF('迁盟总表'!J222="","",'迁盟总表'!J222)</x:f>
        <x:v>761</x:v>
      </x:c>
      <x:c r="K28" s="40" t="n">
        <x:f>IF('迁盟总表'!K222="","",'迁盟总表'!K222)</x:f>
        <x:v>982</x:v>
      </x:c>
      <x:c r="L28" s="40" t="n">
        <x:f>IF('迁盟总表'!L222="","",'迁盟总表'!L222)</x:f>
        <x:v>699</x:v>
      </x:c>
      <x:c r="M28" s="40" t="n">
        <x:f>IF('迁盟总表'!M222="","",'迁盟总表'!M222)</x:f>
        <x:v>627</x:v>
      </x:c>
      <x:c r="N28" s="40" t="n">
        <x:f>IF('迁盟总表'!N222="","",'迁盟总表'!N222)</x:f>
        <x:v>724</x:v>
      </x:c>
      <x:c r="O28" s="40" t="n">
        <x:f>IF('迁盟总表'!O222="","",'迁盟总表'!O222)</x:f>
        <x:v>826</x:v>
      </x:c>
      <x:c r="P28" s="40" t="n">
        <x:f>IF('迁盟总表'!P222="","",'迁盟总表'!P222)</x:f>
        <x:v>4619</x:v>
      </x:c>
      <x:c r="Q28" s="43" t="n">
        <x:f>IF('迁盟总表'!X222="","",'迁盟总表'!X222)</x:f>
        <x:v>75.6</x:v>
      </x:c>
      <x:c r="R28" s="27" t="n">
        <x:f>IF('迁盟总表'!Y222="","",'迁盟总表'!Y222)</x:f>
        <x:v>97</x:v>
      </x:c>
      <x:c r="S28" s="55" t="str">
        <x:f>IF('迁盟总表'!Z222="","",'迁盟总表'!Z222)</x:f>
        <x:v>保持当前盟，减少迁移成本</x:v>
      </x:c>
    </x:row>
    <x:row r="29" ht="20" customHeight="1">
      <x:c r="A29" s="26" t="str">
        <x:f>IF('迁盟总表'!B223="","",'迁盟总表'!B223)</x:f>
        <x:v>乔乔瞧瞧</x:v>
      </x:c>
      <x:c r="B29" s="27" t="str">
        <x:f>IF('迁盟总表'!C223="","",'迁盟总表'!C223)</x:f>
        <x:v>玲珑</x:v>
      </x:c>
      <x:c r="C29" s="64" t="str">
        <x:f>IF('迁盟总表'!D223="","",'迁盟总表'!D223)</x:f>
        <x:v>玲珑</x:v>
      </x:c>
      <x:c r="D29" s="27" t="str">
        <x:f>IF('迁盟总表'!E223="","",'迁盟总表'!E223)</x:f>
        <x:v>留盟</x:v>
      </x:c>
      <x:c r="E29" s="40" t="n">
        <x:f>IF('迁盟总表'!Q223="","",'迁盟总表'!Q223)</x:f>
        <x:v>5909397046</x:v>
      </x:c>
      <x:c r="F29" s="40" t="n">
        <x:f>IF('迁盟总表'!R223="","",'迁盟总表'!R223)</x:f>
        <x:v>82038776</x:v>
      </x:c>
      <x:c r="G29" s="40" t="n">
        <x:f>IF('迁盟总表'!S223="","",'迁盟总表'!S223)</x:f>
        <x:v>308155380</x:v>
      </x:c>
      <x:c r="H29" s="37" t="n">
        <x:f>IF('迁盟总表'!H223="","",'迁盟总表'!H223)</x:f>
        <x:v>28.8</x:v>
      </x:c>
      <x:c r="I29" s="37" t="n">
        <x:f>IF('迁盟总表'!I223="","",'迁盟总表'!I223)</x:f>
        <x:v>28.3</x:v>
      </x:c>
      <x:c r="J29" s="40" t="n">
        <x:f>IF('迁盟总表'!J223="","",'迁盟总表'!J223)</x:f>
        <x:v>746</x:v>
      </x:c>
      <x:c r="K29" s="40" t="n">
        <x:f>IF('迁盟总表'!K223="","",'迁盟总表'!K223)</x:f>
        <x:v>960</x:v>
      </x:c>
      <x:c r="L29" s="40" t="n">
        <x:f>IF('迁盟总表'!L223="","",'迁盟总表'!L223)</x:f>
        <x:v>615</x:v>
      </x:c>
      <x:c r="M29" s="40" t="n">
        <x:f>IF('迁盟总表'!M223="","",'迁盟总表'!M223)</x:f>
        <x:v>466</x:v>
      </x:c>
      <x:c r="N29" s="40" t="n">
        <x:f>IF('迁盟总表'!N223="","",'迁盟总表'!N223)</x:f>
        <x:v>721</x:v>
      </x:c>
      <x:c r="O29" s="40" t="n">
        <x:f>IF('迁盟总表'!O223="","",'迁盟总表'!O223)</x:f>
        <x:v>700</x:v>
      </x:c>
      <x:c r="P29" s="40" t="n">
        <x:f>IF('迁盟总表'!P223="","",'迁盟总表'!P223)</x:f>
        <x:v>4208</x:v>
      </x:c>
      <x:c r="Q29" s="43" t="n">
        <x:f>IF('迁盟总表'!X223="","",'迁盟总表'!X223)</x:f>
        <x:v>75.3</x:v>
      </x:c>
      <x:c r="R29" s="27" t="n">
        <x:f>IF('迁盟总表'!Y223="","",'迁盟总表'!Y223)</x:f>
        <x:v>102</x:v>
      </x:c>
      <x:c r="S29" s="55" t="str">
        <x:f>IF('迁盟总表'!Z223="","",'迁盟总表'!Z223)</x:f>
        <x:v>保持当前盟，减少迁移成本</x:v>
      </x:c>
    </x:row>
    <x:row r="30" ht="20" customHeight="1">
      <x:c r="A30" s="26" t="str">
        <x:f>IF('迁盟总表'!B224="","",'迁盟总表'!B224)</x:f>
        <x:v>我是老婆的老婆宝</x:v>
      </x:c>
      <x:c r="B30" s="27" t="str">
        <x:f>IF('迁盟总表'!C224="","",'迁盟总表'!C224)</x:f>
        <x:v>玲珑</x:v>
      </x:c>
      <x:c r="C30" s="64" t="str">
        <x:f>IF('迁盟总表'!D224="","",'迁盟总表'!D224)</x:f>
        <x:v>玲珑</x:v>
      </x:c>
      <x:c r="D30" s="27" t="str">
        <x:f>IF('迁盟总表'!E224="","",'迁盟总表'!E224)</x:f>
        <x:v>留盟</x:v>
      </x:c>
      <x:c r="E30" s="40" t="n">
        <x:f>IF('迁盟总表'!Q224="","",'迁盟总表'!Q224)</x:f>
        <x:v>3911785416</x:v>
      </x:c>
      <x:c r="F30" s="40" t="n">
        <x:f>IF('迁盟总表'!R224="","",'迁盟总表'!R224)</x:f>
        <x:v>87895075</x:v>
      </x:c>
      <x:c r="G30" s="40" t="n">
        <x:f>IF('迁盟总表'!S224="","",'迁盟总表'!S224)</x:f>
        <x:v>274946160</x:v>
      </x:c>
      <x:c r="H30" s="37" t="n">
        <x:f>IF('迁盟总表'!H224="","",'迁盟总表'!H224)</x:f>
        <x:v>26.7</x:v>
      </x:c>
      <x:c r="I30" s="37" t="n">
        <x:f>IF('迁盟总表'!I224="","",'迁盟总表'!I224)</x:f>
        <x:v>26.7</x:v>
      </x:c>
      <x:c r="J30" s="40" t="n">
        <x:f>IF('迁盟总表'!J224="","",'迁盟总表'!J224)</x:f>
        <x:v>670</x:v>
      </x:c>
      <x:c r="K30" s="40" t="n">
        <x:f>IF('迁盟总表'!K224="","",'迁盟总表'!K224)</x:f>
        <x:v>895</x:v>
      </x:c>
      <x:c r="L30" s="40" t="n">
        <x:f>IF('迁盟总表'!L224="","",'迁盟总表'!L224)</x:f>
        <x:v>655</x:v>
      </x:c>
      <x:c r="M30" s="40" t="n">
        <x:f>IF('迁盟总表'!M224="","",'迁盟总表'!M224)</x:f>
        <x:v>502</x:v>
      </x:c>
      <x:c r="N30" s="40" t="n">
        <x:f>IF('迁盟总表'!N224="","",'迁盟总表'!N224)</x:f>
        <x:v>740</x:v>
      </x:c>
      <x:c r="O30" s="40" t="n">
        <x:f>IF('迁盟总表'!O224="","",'迁盟总表'!O224)</x:f>
        <x:v>756</x:v>
      </x:c>
      <x:c r="P30" s="40" t="n">
        <x:f>IF('迁盟总表'!P224="","",'迁盟总表'!P224)</x:f>
        <x:v>4218</x:v>
      </x:c>
      <x:c r="Q30" s="43" t="n">
        <x:f>IF('迁盟总表'!X224="","",'迁盟总表'!X224)</x:f>
        <x:v>75.1</x:v>
      </x:c>
      <x:c r="R30" s="27" t="n">
        <x:f>IF('迁盟总表'!Y224="","",'迁盟总表'!Y224)</x:f>
        <x:v>108</x:v>
      </x:c>
      <x:c r="S30" s="55" t="str">
        <x:f>IF('迁盟总表'!Z224="","",'迁盟总表'!Z224)</x:f>
        <x:v>保持当前盟，减少迁移成本</x:v>
      </x:c>
    </x:row>
    <x:row r="31" ht="20" customHeight="1">
      <x:c r="A31" s="26" t="str">
        <x:f>IF('迁盟总表'!B225="","",'迁盟总表'!B225)</x:f>
        <x:v>白莲花</x:v>
      </x:c>
      <x:c r="B31" s="27" t="str">
        <x:f>IF('迁盟总表'!C225="","",'迁盟总表'!C225)</x:f>
        <x:v>玲珑</x:v>
      </x:c>
      <x:c r="C31" s="64" t="str">
        <x:f>IF('迁盟总表'!D225="","",'迁盟总表'!D225)</x:f>
        <x:v>玲珑</x:v>
      </x:c>
      <x:c r="D31" s="27" t="str">
        <x:f>IF('迁盟总表'!E225="","",'迁盟总表'!E225)</x:f>
        <x:v>留盟</x:v>
      </x:c>
      <x:c r="E31" s="40" t="n">
        <x:f>IF('迁盟总表'!Q225="","",'迁盟总表'!Q225)</x:f>
        <x:v>2903633140</x:v>
      </x:c>
      <x:c r="F31" s="40" t="n">
        <x:f>IF('迁盟总表'!R225="","",'迁盟总表'!R225)</x:f>
        <x:v>83259150</x:v>
      </x:c>
      <x:c r="G31" s="40" t="n">
        <x:f>IF('迁盟总表'!S225="","",'迁盟总表'!S225)</x:f>
        <x:v>296444179</x:v>
      </x:c>
      <x:c r="H31" s="37" t="str">
        <x:f>IF('迁盟总表'!H225="","",'迁盟总表'!H225)</x:f>
      </x:c>
      <x:c r="I31" s="37" t="str">
        <x:f>IF('迁盟总表'!I225="","",'迁盟总表'!I225)</x:f>
      </x:c>
      <x:c r="J31" s="40" t="str">
        <x:f>IF('迁盟总表'!J225="","",'迁盟总表'!J225)</x:f>
      </x:c>
      <x:c r="K31" s="40" t="str">
        <x:f>IF('迁盟总表'!K225="","",'迁盟总表'!K225)</x:f>
      </x:c>
      <x:c r="L31" s="40" t="str">
        <x:f>IF('迁盟总表'!L225="","",'迁盟总表'!L225)</x:f>
      </x:c>
      <x:c r="M31" s="40" t="str">
        <x:f>IF('迁盟总表'!M225="","",'迁盟总表'!M225)</x:f>
      </x:c>
      <x:c r="N31" s="40" t="str">
        <x:f>IF('迁盟总表'!N225="","",'迁盟总表'!N225)</x:f>
      </x:c>
      <x:c r="O31" s="40" t="str">
        <x:f>IF('迁盟总表'!O225="","",'迁盟总表'!O225)</x:f>
      </x:c>
      <x:c r="P31" s="40" t="str">
        <x:f>IF('迁盟总表'!P225="","",'迁盟总表'!P225)</x:f>
      </x:c>
      <x:c r="Q31" s="43" t="n">
        <x:f>IF('迁盟总表'!X225="","",'迁盟总表'!X225)</x:f>
        <x:v>75</x:v>
      </x:c>
      <x:c r="R31" s="27" t="n">
        <x:f>IF('迁盟总表'!Y225="","",'迁盟总表'!Y225)</x:f>
        <x:v>109</x:v>
      </x:c>
      <x:c r="S31" s="55" t="str">
        <x:f>IF('迁盟总表'!Z225="","",'迁盟总表'!Z225)</x:f>
        <x:v>保持当前盟，减少迁移成本</x:v>
      </x:c>
    </x:row>
    <x:row r="32" ht="20" customHeight="1">
      <x:c r="A32" s="26" t="str">
        <x:f>IF('迁盟总表'!B226="","",'迁盟总表'!B226)</x:f>
        <x:v>松涧听泉</x:v>
      </x:c>
      <x:c r="B32" s="27" t="str">
        <x:f>IF('迁盟总表'!C226="","",'迁盟总表'!C226)</x:f>
        <x:v>玲珑</x:v>
      </x:c>
      <x:c r="C32" s="64" t="str">
        <x:f>IF('迁盟总表'!D226="","",'迁盟总表'!D226)</x:f>
        <x:v>玲珑</x:v>
      </x:c>
      <x:c r="D32" s="27" t="str">
        <x:f>IF('迁盟总表'!E226="","",'迁盟总表'!E226)</x:f>
        <x:v>留盟</x:v>
      </x:c>
      <x:c r="E32" s="40" t="n">
        <x:f>IF('迁盟总表'!Q226="","",'迁盟总表'!Q226)</x:f>
        <x:v>1288385054</x:v>
      </x:c>
      <x:c r="F32" s="40" t="n">
        <x:f>IF('迁盟总表'!R226="","",'迁盟总表'!R226)</x:f>
        <x:v>89272488</x:v>
      </x:c>
      <x:c r="G32" s="40" t="n">
        <x:f>IF('迁盟总表'!S226="","",'迁盟总表'!S226)</x:f>
        <x:v>315951711</x:v>
      </x:c>
      <x:c r="H32" s="37" t="n">
        <x:f>IF('迁盟总表'!H226="","",'迁盟总表'!H226)</x:f>
        <x:v>27.3</x:v>
      </x:c>
      <x:c r="I32" s="37" t="n">
        <x:f>IF('迁盟总表'!I226="","",'迁盟总表'!I226)</x:f>
        <x:v>26.7</x:v>
      </x:c>
      <x:c r="J32" s="40" t="n">
        <x:f>IF('迁盟总表'!J226="","",'迁盟总表'!J226)</x:f>
        <x:v>669</x:v>
      </x:c>
      <x:c r="K32" s="40" t="n">
        <x:f>IF('迁盟总表'!K226="","",'迁盟总表'!K226)</x:f>
        <x:v>961</x:v>
      </x:c>
      <x:c r="L32" s="40" t="n">
        <x:f>IF('迁盟总表'!L226="","",'迁盟总表'!L226)</x:f>
        <x:v>661</x:v>
      </x:c>
      <x:c r="M32" s="40" t="n">
        <x:f>IF('迁盟总表'!M226="","",'迁盟总表'!M226)</x:f>
        <x:v>505</x:v>
      </x:c>
      <x:c r="N32" s="40" t="n">
        <x:f>IF('迁盟总表'!N226="","",'迁盟总表'!N226)</x:f>
        <x:v>715</x:v>
      </x:c>
      <x:c r="O32" s="40" t="n">
        <x:f>IF('迁盟总表'!O226="","",'迁盟总表'!O226)</x:f>
        <x:v>722</x:v>
      </x:c>
      <x:c r="P32" s="40" t="n">
        <x:f>IF('迁盟总表'!P226="","",'迁盟总表'!P226)</x:f>
        <x:v>4233</x:v>
      </x:c>
      <x:c r="Q32" s="43" t="n">
        <x:f>IF('迁盟总表'!X226="","",'迁盟总表'!X226)</x:f>
        <x:v>74.8</x:v>
      </x:c>
      <x:c r="R32" s="27" t="n">
        <x:f>IF('迁盟总表'!Y226="","",'迁盟总表'!Y226)</x:f>
        <x:v>113</x:v>
      </x:c>
      <x:c r="S32" s="55" t="str">
        <x:f>IF('迁盟总表'!Z226="","",'迁盟总表'!Z226)</x:f>
        <x:v>保持当前盟，减少迁移成本</x:v>
      </x:c>
    </x:row>
    <x:row r="33" ht="20" customHeight="1">
      <x:c r="A33" s="26" t="str">
        <x:f>IF('迁盟总表'!B227="","",'迁盟总表'!B227)</x:f>
        <x:v>醉后凉风起</x:v>
      </x:c>
      <x:c r="B33" s="27" t="str">
        <x:f>IF('迁盟总表'!C227="","",'迁盟总表'!C227)</x:f>
        <x:v>玲珑</x:v>
      </x:c>
      <x:c r="C33" s="64" t="str">
        <x:f>IF('迁盟总表'!D227="","",'迁盟总表'!D227)</x:f>
        <x:v>玲珑</x:v>
      </x:c>
      <x:c r="D33" s="27" t="str">
        <x:f>IF('迁盟总表'!E227="","",'迁盟总表'!E227)</x:f>
        <x:v>留盟</x:v>
      </x:c>
      <x:c r="E33" s="40" t="n">
        <x:f>IF('迁盟总表'!Q227="","",'迁盟总表'!Q227)</x:f>
        <x:v>1363649424</x:v>
      </x:c>
      <x:c r="F33" s="40" t="n">
        <x:f>IF('迁盟总表'!R227="","",'迁盟总表'!R227)</x:f>
        <x:v>89849782</x:v>
      </x:c>
      <x:c r="G33" s="40" t="n">
        <x:f>IF('迁盟总表'!S227="","",'迁盟总表'!S227)</x:f>
        <x:v>325019732</x:v>
      </x:c>
      <x:c r="H33" s="37" t="n">
        <x:f>IF('迁盟总表'!H227="","",'迁盟总表'!H227)</x:f>
        <x:v>25.8</x:v>
      </x:c>
      <x:c r="I33" s="37" t="n">
        <x:f>IF('迁盟总表'!I227="","",'迁盟总表'!I227)</x:f>
        <x:v>25.8</x:v>
      </x:c>
      <x:c r="J33" s="40" t="n">
        <x:f>IF('迁盟总表'!J227="","",'迁盟总表'!J227)</x:f>
        <x:v>754</x:v>
      </x:c>
      <x:c r="K33" s="40" t="n">
        <x:f>IF('迁盟总表'!K227="","",'迁盟总表'!K227)</x:f>
        <x:v>711</x:v>
      </x:c>
      <x:c r="L33" s="40" t="n">
        <x:f>IF('迁盟总表'!L227="","",'迁盟总表'!L227)</x:f>
        <x:v>622</x:v>
      </x:c>
      <x:c r="M33" s="40" t="n">
        <x:f>IF('迁盟总表'!M227="","",'迁盟总表'!M227)</x:f>
        <x:v>481</x:v>
      </x:c>
      <x:c r="N33" s="40" t="n">
        <x:f>IF('迁盟总表'!N227="","",'迁盟总表'!N227)</x:f>
        <x:v>652</x:v>
      </x:c>
      <x:c r="O33" s="40" t="n">
        <x:f>IF('迁盟总表'!O227="","",'迁盟总表'!O227)</x:f>
        <x:v>658</x:v>
      </x:c>
      <x:c r="P33" s="40" t="n">
        <x:f>IF('迁盟总表'!P227="","",'迁盟总表'!P227)</x:f>
        <x:v>3878</x:v>
      </x:c>
      <x:c r="Q33" s="43" t="n">
        <x:f>IF('迁盟总表'!X227="","",'迁盟总表'!X227)</x:f>
        <x:v>74.8</x:v>
      </x:c>
      <x:c r="R33" s="27" t="n">
        <x:f>IF('迁盟总表'!Y227="","",'迁盟总表'!Y227)</x:f>
        <x:v>113</x:v>
      </x:c>
      <x:c r="S33" s="55" t="str">
        <x:f>IF('迁盟总表'!Z227="","",'迁盟总表'!Z227)</x:f>
        <x:v>保持当前盟，减少迁移成本</x:v>
      </x:c>
    </x:row>
    <x:row r="34" ht="20" customHeight="1">
      <x:c r="A34" s="26" t="str">
        <x:f>IF('迁盟总表'!B228="","",'迁盟总表'!B228)</x:f>
        <x:v>王梓琳</x:v>
      </x:c>
      <x:c r="B34" s="27" t="str">
        <x:f>IF('迁盟总表'!C228="","",'迁盟总表'!C228)</x:f>
        <x:v>玲珑</x:v>
      </x:c>
      <x:c r="C34" s="64" t="str">
        <x:f>IF('迁盟总表'!D228="","",'迁盟总表'!D228)</x:f>
        <x:v>玲珑</x:v>
      </x:c>
      <x:c r="D34" s="27" t="str">
        <x:f>IF('迁盟总表'!E228="","",'迁盟总表'!E228)</x:f>
        <x:v>留盟</x:v>
      </x:c>
      <x:c r="E34" s="40" t="n">
        <x:f>IF('迁盟总表'!Q228="","",'迁盟总表'!Q228)</x:f>
        <x:v>2804320758</x:v>
      </x:c>
      <x:c r="F34" s="40" t="n">
        <x:f>IF('迁盟总表'!R228="","",'迁盟总表'!R228)</x:f>
        <x:v>91169488</x:v>
      </x:c>
      <x:c r="G34" s="40" t="n">
        <x:f>IF('迁盟总表'!S228="","",'迁盟总表'!S228)</x:f>
        <x:v>253233517</x:v>
      </x:c>
      <x:c r="H34" s="37" t="n">
        <x:f>IF('迁盟总表'!H228="","",'迁盟总表'!H228)</x:f>
        <x:v>28.8</x:v>
      </x:c>
      <x:c r="I34" s="37" t="n">
        <x:f>IF('迁盟总表'!I228="","",'迁盟总表'!I228)</x:f>
        <x:v>22.8</x:v>
      </x:c>
      <x:c r="J34" s="40" t="n">
        <x:f>IF('迁盟总表'!J228="","",'迁盟总表'!J228)</x:f>
        <x:v>861</x:v>
      </x:c>
      <x:c r="K34" s="40" t="n">
        <x:f>IF('迁盟总表'!K228="","",'迁盟总表'!K228)</x:f>
        <x:v>949</x:v>
      </x:c>
      <x:c r="L34" s="40" t="n">
        <x:f>IF('迁盟总表'!L228="","",'迁盟总表'!L228)</x:f>
        <x:v>609</x:v>
      </x:c>
      <x:c r="M34" s="40" t="n">
        <x:f>IF('迁盟总表'!M228="","",'迁盟总表'!M228)</x:f>
        <x:v>529</x:v>
      </x:c>
      <x:c r="N34" s="40" t="n">
        <x:f>IF('迁盟总表'!N228="","",'迁盟总表'!N228)</x:f>
        <x:v>660</x:v>
      </x:c>
      <x:c r="O34" s="40" t="n">
        <x:f>IF('迁盟总表'!O228="","",'迁盟总表'!O228)</x:f>
        <x:v>600</x:v>
      </x:c>
      <x:c r="P34" s="40" t="n">
        <x:f>IF('迁盟总表'!P228="","",'迁盟总表'!P228)</x:f>
        <x:v>4208</x:v>
      </x:c>
      <x:c r="Q34" s="43" t="n">
        <x:f>IF('迁盟总表'!X228="","",'迁盟总表'!X228)</x:f>
        <x:v>74.8</x:v>
      </x:c>
      <x:c r="R34" s="27" t="n">
        <x:f>IF('迁盟总表'!Y228="","",'迁盟总表'!Y228)</x:f>
        <x:v>113</x:v>
      </x:c>
      <x:c r="S34" s="55" t="str">
        <x:f>IF('迁盟总表'!Z228="","",'迁盟总表'!Z228)</x:f>
        <x:v>保持当前盟，减少迁移成本</x:v>
      </x:c>
    </x:row>
    <x:row r="35" ht="20" customHeight="1">
      <x:c r="A35" s="26" t="str">
        <x:f>IF('迁盟总表'!B229="","",'迁盟总表'!B229)</x:f>
        <x:v>尘心入寂</x:v>
      </x:c>
      <x:c r="B35" s="27" t="str">
        <x:f>IF('迁盟总表'!C229="","",'迁盟总表'!C229)</x:f>
        <x:v>玲珑</x:v>
      </x:c>
      <x:c r="C35" s="64" t="str">
        <x:f>IF('迁盟总表'!D229="","",'迁盟总表'!D229)</x:f>
        <x:v>玲珑</x:v>
      </x:c>
      <x:c r="D35" s="27" t="str">
        <x:f>IF('迁盟总表'!E229="","",'迁盟总表'!E229)</x:f>
        <x:v>留盟</x:v>
      </x:c>
      <x:c r="E35" s="40" t="n">
        <x:f>IF('迁盟总表'!Q229="","",'迁盟总表'!Q229)</x:f>
        <x:v>5419713442</x:v>
      </x:c>
      <x:c r="F35" s="40" t="n">
        <x:f>IF('迁盟总表'!R229="","",'迁盟总表'!R229)</x:f>
        <x:v>84627580</x:v>
      </x:c>
      <x:c r="G35" s="40" t="n">
        <x:f>IF('迁盟总表'!S229="","",'迁盟总表'!S229)</x:f>
        <x:v>283742972</x:v>
      </x:c>
      <x:c r="H35" s="37" t="n">
        <x:f>IF('迁盟总表'!H229="","",'迁盟总表'!H229)</x:f>
        <x:v>28.8</x:v>
      </x:c>
      <x:c r="I35" s="37" t="n">
        <x:f>IF('迁盟总表'!I229="","",'迁盟总表'!I229)</x:f>
        <x:v>24.8</x:v>
      </x:c>
      <x:c r="J35" s="40" t="n">
        <x:f>IF('迁盟总表'!J229="","",'迁盟总表'!J229)</x:f>
        <x:v>728</x:v>
      </x:c>
      <x:c r="K35" s="40" t="n">
        <x:f>IF('迁盟总表'!K229="","",'迁盟总表'!K229)</x:f>
        <x:v>755</x:v>
      </x:c>
      <x:c r="L35" s="40" t="n">
        <x:f>IF('迁盟总表'!L229="","",'迁盟总表'!L229)</x:f>
        <x:v>614</x:v>
      </x:c>
      <x:c r="M35" s="40" t="n">
        <x:f>IF('迁盟总表'!M229="","",'迁盟总表'!M229)</x:f>
        <x:v>502</x:v>
      </x:c>
      <x:c r="N35" s="40" t="n">
        <x:f>IF('迁盟总表'!N229="","",'迁盟总表'!N229)</x:f>
        <x:v>661</x:v>
      </x:c>
      <x:c r="O35" s="40" t="n">
        <x:f>IF('迁盟总表'!O229="","",'迁盟总表'!O229)</x:f>
        <x:v>653</x:v>
      </x:c>
      <x:c r="P35" s="40" t="n">
        <x:f>IF('迁盟总表'!P229="","",'迁盟总表'!P229)</x:f>
        <x:v>3913</x:v>
      </x:c>
      <x:c r="Q35" s="43" t="n">
        <x:f>IF('迁盟总表'!X229="","",'迁盟总表'!X229)</x:f>
        <x:v>74.6</x:v>
      </x:c>
      <x:c r="R35" s="27" t="n">
        <x:f>IF('迁盟总表'!Y229="","",'迁盟总表'!Y229)</x:f>
        <x:v>119</x:v>
      </x:c>
      <x:c r="S35" s="55" t="str">
        <x:f>IF('迁盟总表'!Z229="","",'迁盟总表'!Z229)</x:f>
        <x:v>保持当前盟，减少迁移成本</x:v>
      </x:c>
    </x:row>
    <x:row r="36" ht="20" customHeight="1">
      <x:c r="A36" s="26" t="str">
        <x:f>IF('迁盟总表'!B230="","",'迁盟总表'!B230)</x:f>
        <x:v>九尾狐</x:v>
      </x:c>
      <x:c r="B36" s="27" t="str">
        <x:f>IF('迁盟总表'!C230="","",'迁盟总表'!C230)</x:f>
        <x:v>玲珑</x:v>
      </x:c>
      <x:c r="C36" s="64" t="str">
        <x:f>IF('迁盟总表'!D230="","",'迁盟总表'!D230)</x:f>
        <x:v>玲珑</x:v>
      </x:c>
      <x:c r="D36" s="27" t="str">
        <x:f>IF('迁盟总表'!E230="","",'迁盟总表'!E230)</x:f>
        <x:v>留盟</x:v>
      </x:c>
      <x:c r="E36" s="40" t="n">
        <x:f>IF('迁盟总表'!Q230="","",'迁盟总表'!Q230)</x:f>
        <x:v>1736642536</x:v>
      </x:c>
      <x:c r="F36" s="40" t="n">
        <x:f>IF('迁盟总表'!R230="","",'迁盟总表'!R230)</x:f>
        <x:v>90387588</x:v>
      </x:c>
      <x:c r="G36" s="40" t="n">
        <x:f>IF('迁盟总表'!S230="","",'迁盟总表'!S230)</x:f>
        <x:v>309329233</x:v>
      </x:c>
      <x:c r="H36" s="37" t="n">
        <x:f>IF('迁盟总表'!H230="","",'迁盟总表'!H230)</x:f>
        <x:v>28.8</x:v>
      </x:c>
      <x:c r="I36" s="37" t="n">
        <x:f>IF('迁盟总表'!I230="","",'迁盟总表'!I230)</x:f>
        <x:v>20.6</x:v>
      </x:c>
      <x:c r="J36" s="40" t="n">
        <x:f>IF('迁盟总表'!J230="","",'迁盟总表'!J230)</x:f>
        <x:v>682</x:v>
      </x:c>
      <x:c r="K36" s="40" t="n">
        <x:f>IF('迁盟总表'!K230="","",'迁盟总表'!K230)</x:f>
        <x:v>710</x:v>
      </x:c>
      <x:c r="L36" s="40" t="n">
        <x:f>IF('迁盟总表'!L230="","",'迁盟总表'!L230)</x:f>
        <x:v>578</x:v>
      </x:c>
      <x:c r="M36" s="40" t="n">
        <x:f>IF('迁盟总表'!M230="","",'迁盟总表'!M230)</x:f>
        <x:v>507</x:v>
      </x:c>
      <x:c r="N36" s="40" t="n">
        <x:f>IF('迁盟总表'!N230="","",'迁盟总表'!N230)</x:f>
        <x:v>631</x:v>
      </x:c>
      <x:c r="O36" s="40" t="n">
        <x:f>IF('迁盟总表'!O230="","",'迁盟总表'!O230)</x:f>
        <x:v>578</x:v>
      </x:c>
      <x:c r="P36" s="40" t="n">
        <x:f>IF('迁盟总表'!P230="","",'迁盟总表'!P230)</x:f>
        <x:v>3686</x:v>
      </x:c>
      <x:c r="Q36" s="43" t="n">
        <x:f>IF('迁盟总表'!X230="","",'迁盟总表'!X230)</x:f>
        <x:v>74.6</x:v>
      </x:c>
      <x:c r="R36" s="27" t="n">
        <x:f>IF('迁盟总表'!Y230="","",'迁盟总表'!Y230)</x:f>
        <x:v>119</x:v>
      </x:c>
      <x:c r="S36" s="55" t="str">
        <x:f>IF('迁盟总表'!Z230="","",'迁盟总表'!Z230)</x:f>
        <x:v>保持当前盟，减少迁移成本</x:v>
      </x:c>
    </x:row>
    <x:row r="37" ht="20" customHeight="1">
      <x:c r="A37" s="26" t="str">
        <x:f>IF('迁盟总表'!B231="","",'迁盟总表'!B231)</x:f>
        <x:v>薄荷奶绿</x:v>
      </x:c>
      <x:c r="B37" s="27" t="str">
        <x:f>IF('迁盟总表'!C231="","",'迁盟总表'!C231)</x:f>
        <x:v>玲珑</x:v>
      </x:c>
      <x:c r="C37" s="64" t="str">
        <x:f>IF('迁盟总表'!D231="","",'迁盟总表'!D231)</x:f>
        <x:v>玲珑</x:v>
      </x:c>
      <x:c r="D37" s="27" t="str">
        <x:f>IF('迁盟总表'!E231="","",'迁盟总表'!E231)</x:f>
        <x:v>留盟</x:v>
      </x:c>
      <x:c r="E37" s="40" t="n">
        <x:f>IF('迁盟总表'!Q231="","",'迁盟总表'!Q231)</x:f>
        <x:v>5264255782</x:v>
      </x:c>
      <x:c r="F37" s="40" t="n">
        <x:f>IF('迁盟总表'!R231="","",'迁盟总表'!R231)</x:f>
        <x:v>82850949</x:v>
      </x:c>
      <x:c r="G37" s="40" t="n">
        <x:f>IF('迁盟总表'!S231="","",'迁盟总表'!S231)</x:f>
        <x:v>283288498</x:v>
      </x:c>
      <x:c r="H37" s="37" t="n">
        <x:f>IF('迁盟总表'!H231="","",'迁盟总表'!H231)</x:f>
        <x:v>27.9</x:v>
      </x:c>
      <x:c r="I37" s="37" t="n">
        <x:f>IF('迁盟总表'!I231="","",'迁盟总表'!I231)</x:f>
        <x:v>24.6</x:v>
      </x:c>
      <x:c r="J37" s="40" t="n">
        <x:f>IF('迁盟总表'!J231="","",'迁盟总表'!J231)</x:f>
        <x:v>646</x:v>
      </x:c>
      <x:c r="K37" s="40" t="n">
        <x:f>IF('迁盟总表'!K231="","",'迁盟总表'!K231)</x:f>
        <x:v>673</x:v>
      </x:c>
      <x:c r="L37" s="40" t="n">
        <x:f>IF('迁盟总表'!L231="","",'迁盟总表'!L231)</x:f>
        <x:v>568</x:v>
      </x:c>
      <x:c r="M37" s="40" t="n">
        <x:f>IF('迁盟总表'!M231="","",'迁盟总表'!M231)</x:f>
        <x:v>547</x:v>
      </x:c>
      <x:c r="N37" s="40" t="n">
        <x:f>IF('迁盟总表'!N231="","",'迁盟总表'!N231)</x:f>
        <x:v>708</x:v>
      </x:c>
      <x:c r="O37" s="40" t="n">
        <x:f>IF('迁盟总表'!O231="","",'迁盟总表'!O231)</x:f>
        <x:v>789</x:v>
      </x:c>
      <x:c r="P37" s="40" t="n">
        <x:f>IF('迁盟总表'!P231="","",'迁盟总表'!P231)</x:f>
        <x:v>3931</x:v>
      </x:c>
      <x:c r="Q37" s="43" t="n">
        <x:f>IF('迁盟总表'!X231="","",'迁盟总表'!X231)</x:f>
        <x:v>74.1</x:v>
      </x:c>
      <x:c r="R37" s="27" t="n">
        <x:f>IF('迁盟总表'!Y231="","",'迁盟总表'!Y231)</x:f>
        <x:v>125</x:v>
      </x:c>
      <x:c r="S37" s="55" t="str">
        <x:f>IF('迁盟总表'!Z231="","",'迁盟总表'!Z231)</x:f>
        <x:v>保持当前盟，减少迁移成本</x:v>
      </x:c>
    </x:row>
    <x:row r="38" ht="20" customHeight="1">
      <x:c r="A38" s="26" t="str">
        <x:f>IF('迁盟总表'!B232="","",'迁盟总表'!B232)</x:f>
        <x:v>大力出奇迹</x:v>
      </x:c>
      <x:c r="B38" s="27" t="str">
        <x:f>IF('迁盟总表'!C232="","",'迁盟总表'!C232)</x:f>
        <x:v>玲珑</x:v>
      </x:c>
      <x:c r="C38" s="64" t="str">
        <x:f>IF('迁盟总表'!D232="","",'迁盟总表'!D232)</x:f>
        <x:v>玲珑</x:v>
      </x:c>
      <x:c r="D38" s="27" t="str">
        <x:f>IF('迁盟总表'!E232="","",'迁盟总表'!E232)</x:f>
        <x:v>留盟</x:v>
      </x:c>
      <x:c r="E38" s="40" t="n">
        <x:f>IF('迁盟总表'!Q232="","",'迁盟总表'!Q232)</x:f>
        <x:v>3831148944</x:v>
      </x:c>
      <x:c r="F38" s="40" t="n">
        <x:f>IF('迁盟总表'!R232="","",'迁盟总表'!R232)</x:f>
        <x:v>83414813</x:v>
      </x:c>
      <x:c r="G38" s="40" t="n">
        <x:f>IF('迁盟总表'!S232="","",'迁盟总表'!S232)</x:f>
        <x:v>269336013</x:v>
      </x:c>
      <x:c r="H38" s="37" t="n">
        <x:f>IF('迁盟总表'!H232="","",'迁盟总表'!H232)</x:f>
        <x:v>28.8</x:v>
      </x:c>
      <x:c r="I38" s="37" t="n">
        <x:f>IF('迁盟总表'!I232="","",'迁盟总表'!I232)</x:f>
        <x:v>28.8</x:v>
      </x:c>
      <x:c r="J38" s="40" t="n">
        <x:f>IF('迁盟总表'!J232="","",'迁盟总表'!J232)</x:f>
        <x:v>769</x:v>
      </x:c>
      <x:c r="K38" s="40" t="n">
        <x:f>IF('迁盟总表'!K232="","",'迁盟总表'!K232)</x:f>
        <x:v>862</x:v>
      </x:c>
      <x:c r="L38" s="40" t="n">
        <x:f>IF('迁盟总表'!L232="","",'迁盟总表'!L232)</x:f>
        <x:v>667</x:v>
      </x:c>
      <x:c r="M38" s="40" t="n">
        <x:f>IF('迁盟总表'!M232="","",'迁盟总表'!M232)</x:f>
        <x:v>602</x:v>
      </x:c>
      <x:c r="N38" s="40" t="n">
        <x:f>IF('迁盟总表'!N232="","",'迁盟总表'!N232)</x:f>
        <x:v>695</x:v>
      </x:c>
      <x:c r="O38" s="40" t="n">
        <x:f>IF('迁盟总表'!O232="","",'迁盟总表'!O232)</x:f>
        <x:v>623</x:v>
      </x:c>
      <x:c r="P38" s="40" t="n">
        <x:f>IF('迁盟总表'!P232="","",'迁盟总表'!P232)</x:f>
        <x:v>4218</x:v>
      </x:c>
      <x:c r="Q38" s="43" t="n">
        <x:f>IF('迁盟总表'!X232="","",'迁盟总表'!X232)</x:f>
        <x:v>73.8</x:v>
      </x:c>
      <x:c r="R38" s="27" t="n">
        <x:f>IF('迁盟总表'!Y232="","",'迁盟总表'!Y232)</x:f>
        <x:v>129</x:v>
      </x:c>
      <x:c r="S38" s="55" t="str">
        <x:f>IF('迁盟总表'!Z232="","",'迁盟总表'!Z232)</x:f>
        <x:v>保持当前盟，减少迁移成本</x:v>
      </x:c>
    </x:row>
    <x:row r="39" ht="20" customHeight="1">
      <x:c r="A39" s="26" t="str">
        <x:f>IF('迁盟总表'!B233="","",'迁盟总表'!B233)</x:f>
        <x:v>魔法花园</x:v>
      </x:c>
      <x:c r="B39" s="27" t="str">
        <x:f>IF('迁盟总表'!C233="","",'迁盟总表'!C233)</x:f>
        <x:v>玲珑</x:v>
      </x:c>
      <x:c r="C39" s="64" t="str">
        <x:f>IF('迁盟总表'!D233="","",'迁盟总表'!D233)</x:f>
        <x:v>玲珑</x:v>
      </x:c>
      <x:c r="D39" s="27" t="str">
        <x:f>IF('迁盟总表'!E233="","",'迁盟总表'!E233)</x:f>
        <x:v>留盟</x:v>
      </x:c>
      <x:c r="E39" s="40" t="n">
        <x:f>IF('迁盟总表'!Q233="","",'迁盟总表'!Q233)</x:f>
        <x:v>616843600</x:v>
      </x:c>
      <x:c r="F39" s="40" t="n">
        <x:f>IF('迁盟总表'!R233="","",'迁盟总表'!R233)</x:f>
        <x:v>88689352</x:v>
      </x:c>
      <x:c r="G39" s="40" t="n">
        <x:f>IF('迁盟总表'!S233="","",'迁盟总表'!S233)</x:f>
        <x:v>321903806</x:v>
      </x:c>
      <x:c r="H39" s="37" t="n">
        <x:f>IF('迁盟总表'!H233="","",'迁盟总表'!H233)</x:f>
        <x:v>26.7</x:v>
      </x:c>
      <x:c r="I39" s="37" t="n">
        <x:f>IF('迁盟总表'!I233="","",'迁盟总表'!I233)</x:f>
        <x:v>26.7</x:v>
      </x:c>
      <x:c r="J39" s="40" t="n">
        <x:f>IF('迁盟总表'!J233="","",'迁盟总表'!J233)</x:f>
        <x:v>707</x:v>
      </x:c>
      <x:c r="K39" s="40" t="n">
        <x:f>IF('迁盟总表'!K233="","",'迁盟总表'!K233)</x:f>
        <x:v>878</x:v>
      </x:c>
      <x:c r="L39" s="40" t="n">
        <x:f>IF('迁盟总表'!L233="","",'迁盟总表'!L233)</x:f>
        <x:v>718</x:v>
      </x:c>
      <x:c r="M39" s="40" t="n">
        <x:f>IF('迁盟总表'!M233="","",'迁盟总表'!M233)</x:f>
        <x:v>503</x:v>
      </x:c>
      <x:c r="N39" s="40" t="n">
        <x:f>IF('迁盟总表'!N233="","",'迁盟总表'!N233)</x:f>
        <x:v>774</x:v>
      </x:c>
      <x:c r="O39" s="40" t="n">
        <x:f>IF('迁盟总表'!O233="","",'迁盟总表'!O233)</x:f>
        <x:v>678</x:v>
      </x:c>
      <x:c r="P39" s="40" t="n">
        <x:f>IF('迁盟总表'!P233="","",'迁盟总表'!P233)</x:f>
        <x:v>4258</x:v>
      </x:c>
      <x:c r="Q39" s="43" t="n">
        <x:f>IF('迁盟总表'!X233="","",'迁盟总表'!X233)</x:f>
        <x:v>73.6</x:v>
      </x:c>
      <x:c r="R39" s="27" t="n">
        <x:f>IF('迁盟总表'!Y233="","",'迁盟总表'!Y233)</x:f>
        <x:v>133</x:v>
      </x:c>
      <x:c r="S39" s="55" t="str">
        <x:f>IF('迁盟总表'!Z233="","",'迁盟总表'!Z233)</x:f>
        <x:v>保持当前盟，减少迁移成本</x:v>
      </x:c>
    </x:row>
    <x:row r="40" ht="20" customHeight="1">
      <x:c r="A40" s="26" t="str">
        <x:f>IF('迁盟总表'!B234="","",'迁盟总表'!B234)</x:f>
        <x:v>冰森星辰</x:v>
      </x:c>
      <x:c r="B40" s="27" t="str">
        <x:f>IF('迁盟总表'!C234="","",'迁盟总表'!C234)</x:f>
        <x:v>玲珑</x:v>
      </x:c>
      <x:c r="C40" s="64" t="str">
        <x:f>IF('迁盟总表'!D234="","",'迁盟总表'!D234)</x:f>
        <x:v>玲珑</x:v>
      </x:c>
      <x:c r="D40" s="27" t="str">
        <x:f>IF('迁盟总表'!E234="","",'迁盟总表'!E234)</x:f>
        <x:v>留盟</x:v>
      </x:c>
      <x:c r="E40" s="40" t="n">
        <x:f>IF('迁盟总表'!Q234="","",'迁盟总表'!Q234)</x:f>
        <x:v>2678593192</x:v>
      </x:c>
      <x:c r="F40" s="40" t="n">
        <x:f>IF('迁盟总表'!R234="","",'迁盟总表'!R234)</x:f>
        <x:v>81926656</x:v>
      </x:c>
      <x:c r="G40" s="40" t="n">
        <x:f>IF('迁盟总表'!S234="","",'迁盟总表'!S234)</x:f>
        <x:v>334490485</x:v>
      </x:c>
      <x:c r="H40" s="37" t="n">
        <x:f>IF('迁盟总表'!H234="","",'迁盟总表'!H234)</x:f>
        <x:v>25.8</x:v>
      </x:c>
      <x:c r="I40" s="37" t="str">
        <x:f>IF('迁盟总表'!I234="","",'迁盟总表'!I234)</x:f>
      </x:c>
      <x:c r="J40" s="40" t="n">
        <x:f>IF('迁盟总表'!J234="","",'迁盟总表'!J234)</x:f>
        <x:v>660</x:v>
      </x:c>
      <x:c r="K40" s="40" t="n">
        <x:f>IF('迁盟总表'!K234="","",'迁盟总表'!K234)</x:f>
        <x:v>679</x:v>
      </x:c>
      <x:c r="L40" s="40" t="n">
        <x:f>IF('迁盟总表'!L234="","",'迁盟总表'!L234)</x:f>
        <x:v>573</x:v>
      </x:c>
      <x:c r="M40" s="40" t="n">
        <x:f>IF('迁盟总表'!M234="","",'迁盟总表'!M234)</x:f>
        <x:v>408</x:v>
      </x:c>
      <x:c r="N40" s="40" t="n">
        <x:f>IF('迁盟总表'!N234="","",'迁盟总表'!N234)</x:f>
        <x:v>665</x:v>
      </x:c>
      <x:c r="O40" s="40" t="n">
        <x:f>IF('迁盟总表'!O234="","",'迁盟总表'!O234)</x:f>
        <x:v>547</x:v>
      </x:c>
      <x:c r="P40" s="40" t="n">
        <x:f>IF('迁盟总表'!P234="","",'迁盟总表'!P234)</x:f>
        <x:v>3532</x:v>
      </x:c>
      <x:c r="Q40" s="43" t="n">
        <x:f>IF('迁盟总表'!X234="","",'迁盟总表'!X234)</x:f>
        <x:v>73.6</x:v>
      </x:c>
      <x:c r="R40" s="27" t="n">
        <x:f>IF('迁盟总表'!Y234="","",'迁盟总表'!Y234)</x:f>
        <x:v>133</x:v>
      </x:c>
      <x:c r="S40" s="55" t="str">
        <x:f>IF('迁盟总表'!Z234="","",'迁盟总表'!Z234)</x:f>
        <x:v>保持当前盟，减少迁移成本</x:v>
      </x:c>
    </x:row>
    <x:row r="41" ht="20" customHeight="1">
      <x:c r="A41" s="26" t="str">
        <x:f>IF('迁盟总表'!B235="","",'迁盟总表'!B235)</x:f>
        <x:v>最好的奈奈</x:v>
      </x:c>
      <x:c r="B41" s="27" t="str">
        <x:f>IF('迁盟总表'!C235="","",'迁盟总表'!C235)</x:f>
        <x:v>玲珑</x:v>
      </x:c>
      <x:c r="C41" s="64" t="str">
        <x:f>IF('迁盟总表'!D235="","",'迁盟总表'!D235)</x:f>
        <x:v>玲珑</x:v>
      </x:c>
      <x:c r="D41" s="27" t="str">
        <x:f>IF('迁盟总表'!E235="","",'迁盟总表'!E235)</x:f>
        <x:v>留盟</x:v>
      </x:c>
      <x:c r="E41" s="40" t="n">
        <x:f>IF('迁盟总表'!Q235="","",'迁盟总表'!Q235)</x:f>
        <x:v>708344026</x:v>
      </x:c>
      <x:c r="F41" s="40" t="n">
        <x:f>IF('迁盟总表'!R235="","",'迁盟总表'!R235)</x:f>
        <x:v>87989231</x:v>
      </x:c>
      <x:c r="G41" s="40" t="n">
        <x:f>IF('迁盟总表'!S235="","",'迁盟总表'!S235)</x:f>
        <x:v>310178806</x:v>
      </x:c>
      <x:c r="H41" s="37" t="n">
        <x:f>IF('迁盟总表'!H235="","",'迁盟总表'!H235)</x:f>
        <x:v>28.6</x:v>
      </x:c>
      <x:c r="I41" s="37" t="n">
        <x:f>IF('迁盟总表'!I235="","",'迁盟总表'!I235)</x:f>
        <x:v>28.6</x:v>
      </x:c>
      <x:c r="J41" s="40" t="n">
        <x:f>IF('迁盟总表'!J235="","",'迁盟总表'!J235)</x:f>
        <x:v>744</x:v>
      </x:c>
      <x:c r="K41" s="40" t="n">
        <x:f>IF('迁盟总表'!K235="","",'迁盟总表'!K235)</x:f>
        <x:v>767</x:v>
      </x:c>
      <x:c r="L41" s="40" t="n">
        <x:f>IF('迁盟总表'!L235="","",'迁盟总表'!L235)</x:f>
        <x:v>650</x:v>
      </x:c>
      <x:c r="M41" s="40" t="n">
        <x:f>IF('迁盟总表'!M235="","",'迁盟总表'!M235)</x:f>
        <x:v>610</x:v>
      </x:c>
      <x:c r="N41" s="40" t="n">
        <x:f>IF('迁盟总表'!N235="","",'迁盟总表'!N235)</x:f>
        <x:v>697</x:v>
      </x:c>
      <x:c r="O41" s="40" t="n">
        <x:f>IF('迁盟总表'!O235="","",'迁盟总表'!O235)</x:f>
        <x:v>739</x:v>
      </x:c>
      <x:c r="P41" s="40" t="n">
        <x:f>IF('迁盟总表'!P235="","",'迁盟总表'!P235)</x:f>
        <x:v>4207</x:v>
      </x:c>
      <x:c r="Q41" s="43" t="n">
        <x:f>IF('迁盟总表'!X235="","",'迁盟总表'!X235)</x:f>
        <x:v>73.3</x:v>
      </x:c>
      <x:c r="R41" s="27" t="n">
        <x:f>IF('迁盟总表'!Y235="","",'迁盟总表'!Y235)</x:f>
        <x:v>136</x:v>
      </x:c>
      <x:c r="S41" s="55" t="str">
        <x:f>IF('迁盟总表'!Z235="","",'迁盟总表'!Z235)</x:f>
        <x:v>保持当前盟，减少迁移成本</x:v>
      </x:c>
    </x:row>
    <x:row r="42" ht="20" customHeight="1">
      <x:c r="A42" s="26" t="str">
        <x:f>IF('迁盟总表'!B236="","",'迁盟总表'!B236)</x:f>
        <x:v>聪聪121</x:v>
      </x:c>
      <x:c r="B42" s="27" t="str">
        <x:f>IF('迁盟总表'!C236="","",'迁盟总表'!C236)</x:f>
        <x:v>玲珑</x:v>
      </x:c>
      <x:c r="C42" s="64" t="str">
        <x:f>IF('迁盟总表'!D236="","",'迁盟总表'!D236)</x:f>
        <x:v>玲珑</x:v>
      </x:c>
      <x:c r="D42" s="27" t="str">
        <x:f>IF('迁盟总表'!E236="","",'迁盟总表'!E236)</x:f>
        <x:v>留盟</x:v>
      </x:c>
      <x:c r="E42" s="40" t="n">
        <x:f>IF('迁盟总表'!Q236="","",'迁盟总表'!Q236)</x:f>
        <x:v>377817506</x:v>
      </x:c>
      <x:c r="F42" s="40" t="n">
        <x:f>IF('迁盟总表'!R236="","",'迁盟总表'!R236)</x:f>
        <x:v>91960744</x:v>
      </x:c>
      <x:c r="G42" s="40" t="n">
        <x:f>IF('迁盟总表'!S236="","",'迁盟总表'!S236)</x:f>
        <x:v>284426760</x:v>
      </x:c>
      <x:c r="H42" s="37" t="n">
        <x:f>IF('迁盟总表'!H236="","",'迁盟总表'!H236)</x:f>
        <x:v>28.8</x:v>
      </x:c>
      <x:c r="I42" s="37" t="n">
        <x:f>IF('迁盟总表'!I236="","",'迁盟总表'!I236)</x:f>
        <x:v>28.8</x:v>
      </x:c>
      <x:c r="J42" s="40" t="n">
        <x:f>IF('迁盟总表'!J236="","",'迁盟总表'!J236)</x:f>
        <x:v>820</x:v>
      </x:c>
      <x:c r="K42" s="40" t="n">
        <x:f>IF('迁盟总表'!K236="","",'迁盟总表'!K236)</x:f>
        <x:v>990</x:v>
      </x:c>
      <x:c r="L42" s="40" t="n">
        <x:f>IF('迁盟总表'!L236="","",'迁盟总表'!L236)</x:f>
        <x:v>732</x:v>
      </x:c>
      <x:c r="M42" s="40" t="n">
        <x:f>IF('迁盟总表'!M236="","",'迁盟总表'!M236)</x:f>
        <x:v>633</x:v>
      </x:c>
      <x:c r="N42" s="40" t="n">
        <x:f>IF('迁盟总表'!N236="","",'迁盟总表'!N236)</x:f>
        <x:v>760</x:v>
      </x:c>
      <x:c r="O42" s="40" t="n">
        <x:f>IF('迁盟总表'!O236="","",'迁盟总表'!O236)</x:f>
        <x:v>698</x:v>
      </x:c>
      <x:c r="P42" s="40" t="n">
        <x:f>IF('迁盟总表'!P236="","",'迁盟总表'!P236)</x:f>
        <x:v>4633</x:v>
      </x:c>
      <x:c r="Q42" s="43" t="n">
        <x:f>IF('迁盟总表'!X236="","",'迁盟总表'!X236)</x:f>
        <x:v>73.1</x:v>
      </x:c>
      <x:c r="R42" s="27" t="n">
        <x:f>IF('迁盟总表'!Y236="","",'迁盟总表'!Y236)</x:f>
        <x:v>141</x:v>
      </x:c>
      <x:c r="S42" s="55" t="str">
        <x:f>IF('迁盟总表'!Z236="","",'迁盟总表'!Z236)</x:f>
        <x:v>保持当前盟，减少迁移成本</x:v>
      </x:c>
    </x:row>
    <x:row r="43" ht="20" customHeight="1">
      <x:c r="A43" s="26" t="str">
        <x:f>IF('迁盟总表'!B237="","",'迁盟总表'!B237)</x:f>
        <x:v>东二批</x:v>
      </x:c>
      <x:c r="B43" s="27" t="str">
        <x:f>IF('迁盟总表'!C237="","",'迁盟总表'!C237)</x:f>
        <x:v>玲珑</x:v>
      </x:c>
      <x:c r="C43" s="64" t="str">
        <x:f>IF('迁盟总表'!D237="","",'迁盟总表'!D237)</x:f>
        <x:v>玲珑</x:v>
      </x:c>
      <x:c r="D43" s="27" t="str">
        <x:f>IF('迁盟总表'!E237="","",'迁盟总表'!E237)</x:f>
        <x:v>留盟</x:v>
      </x:c>
      <x:c r="E43" s="40" t="n">
        <x:f>IF('迁盟总表'!Q237="","",'迁盟总表'!Q237)</x:f>
        <x:v>2743030646</x:v>
      </x:c>
      <x:c r="F43" s="40" t="n">
        <x:f>IF('迁盟总表'!R237="","",'迁盟总表'!R237)</x:f>
        <x:v>78852356</x:v>
      </x:c>
      <x:c r="G43" s="40" t="n">
        <x:f>IF('迁盟总表'!S237="","",'迁盟总表'!S237)</x:f>
        <x:v>281772125</x:v>
      </x:c>
      <x:c r="H43" s="37" t="str">
        <x:f>IF('迁盟总表'!H237="","",'迁盟总表'!H237)</x:f>
      </x:c>
      <x:c r="I43" s="37" t="str">
        <x:f>IF('迁盟总表'!I237="","",'迁盟总表'!I237)</x:f>
      </x:c>
      <x:c r="J43" s="40" t="str">
        <x:f>IF('迁盟总表'!J237="","",'迁盟总表'!J237)</x:f>
      </x:c>
      <x:c r="K43" s="40" t="str">
        <x:f>IF('迁盟总表'!K237="","",'迁盟总表'!K237)</x:f>
      </x:c>
      <x:c r="L43" s="40" t="str">
        <x:f>IF('迁盟总表'!L237="","",'迁盟总表'!L237)</x:f>
      </x:c>
      <x:c r="M43" s="40" t="str">
        <x:f>IF('迁盟总表'!M237="","",'迁盟总表'!M237)</x:f>
      </x:c>
      <x:c r="N43" s="40" t="str">
        <x:f>IF('迁盟总表'!N237="","",'迁盟总表'!N237)</x:f>
      </x:c>
      <x:c r="O43" s="40" t="str">
        <x:f>IF('迁盟总表'!O237="","",'迁盟总表'!O237)</x:f>
      </x:c>
      <x:c r="P43" s="40" t="str">
        <x:f>IF('迁盟总表'!P237="","",'迁盟总表'!P237)</x:f>
      </x:c>
      <x:c r="Q43" s="43" t="n">
        <x:f>IF('迁盟总表'!X237="","",'迁盟总表'!X237)</x:f>
        <x:v>73.1</x:v>
      </x:c>
      <x:c r="R43" s="27" t="n">
        <x:f>IF('迁盟总表'!Y237="","",'迁盟总表'!Y237)</x:f>
        <x:v>141</x:v>
      </x:c>
      <x:c r="S43" s="55" t="str">
        <x:f>IF('迁盟总表'!Z237="","",'迁盟总表'!Z237)</x:f>
        <x:v>保持当前盟，减少迁移成本</x:v>
      </x:c>
    </x:row>
    <x:row r="44" ht="20" customHeight="1">
      <x:c r="A44" s="26" t="str">
        <x:f>IF('迁盟总表'!B238="","",'迁盟总表'!B238)</x:f>
        <x:v>龙之叶</x:v>
      </x:c>
      <x:c r="B44" s="27" t="str">
        <x:f>IF('迁盟总表'!C238="","",'迁盟总表'!C238)</x:f>
        <x:v>玲珑</x:v>
      </x:c>
      <x:c r="C44" s="64" t="str">
        <x:f>IF('迁盟总表'!D238="","",'迁盟总表'!D238)</x:f>
        <x:v>玲珑</x:v>
      </x:c>
      <x:c r="D44" s="27" t="str">
        <x:f>IF('迁盟总表'!E238="","",'迁盟总表'!E238)</x:f>
        <x:v>留盟</x:v>
      </x:c>
      <x:c r="E44" s="40" t="n">
        <x:f>IF('迁盟总表'!Q238="","",'迁盟总表'!Q238)</x:f>
        <x:v>2017278972</x:v>
      </x:c>
      <x:c r="F44" s="40" t="n">
        <x:f>IF('迁盟总表'!R238="","",'迁盟总表'!R238)</x:f>
        <x:v>82158994</x:v>
      </x:c>
      <x:c r="G44" s="40" t="n">
        <x:f>IF('迁盟总表'!S238="","",'迁盟总表'!S238)</x:f>
        <x:v>307679188</x:v>
      </x:c>
      <x:c r="H44" s="37" t="n">
        <x:f>IF('迁盟总表'!H238="","",'迁盟总表'!H238)</x:f>
        <x:v>26.7</x:v>
      </x:c>
      <x:c r="I44" s="37" t="n">
        <x:f>IF('迁盟总表'!I238="","",'迁盟总表'!I238)</x:f>
        <x:v>26.7</x:v>
      </x:c>
      <x:c r="J44" s="40" t="n">
        <x:f>IF('迁盟总表'!J238="","",'迁盟总表'!J238)</x:f>
        <x:v>765</x:v>
      </x:c>
      <x:c r="K44" s="40" t="n">
        <x:f>IF('迁盟总表'!K238="","",'迁盟总表'!K238)</x:f>
        <x:v>776</x:v>
      </x:c>
      <x:c r="L44" s="40" t="n">
        <x:f>IF('迁盟总表'!L238="","",'迁盟总表'!L238)</x:f>
        <x:v>635</x:v>
      </x:c>
      <x:c r="M44" s="40" t="n">
        <x:f>IF('迁盟总表'!M238="","",'迁盟总表'!M238)</x:f>
        <x:v>492</x:v>
      </x:c>
      <x:c r="N44" s="40" t="n">
        <x:f>IF('迁盟总表'!N238="","",'迁盟总表'!N238)</x:f>
        <x:v>702</x:v>
      </x:c>
      <x:c r="O44" s="40" t="n">
        <x:f>IF('迁盟总表'!O238="","",'迁盟总表'!O238)</x:f>
        <x:v>608</x:v>
      </x:c>
      <x:c r="P44" s="40" t="n">
        <x:f>IF('迁盟总表'!P238="","",'迁盟总表'!P238)</x:f>
        <x:v>3978</x:v>
      </x:c>
      <x:c r="Q44" s="43" t="n">
        <x:f>IF('迁盟总表'!X238="","",'迁盟总表'!X238)</x:f>
        <x:v>73.1</x:v>
      </x:c>
      <x:c r="R44" s="27" t="n">
        <x:f>IF('迁盟总表'!Y238="","",'迁盟总表'!Y238)</x:f>
        <x:v>141</x:v>
      </x:c>
      <x:c r="S44" s="55" t="str">
        <x:f>IF('迁盟总表'!Z238="","",'迁盟总表'!Z238)</x:f>
        <x:v>保持当前盟，减少迁移成本</x:v>
      </x:c>
    </x:row>
    <x:row r="45" ht="20" customHeight="1">
      <x:c r="A45" s="26" t="str">
        <x:f>IF('迁盟总表'!B239="","",'迁盟总表'!B239)</x:f>
        <x:v>白水诗</x:v>
      </x:c>
      <x:c r="B45" s="27" t="str">
        <x:f>IF('迁盟总表'!C239="","",'迁盟总表'!C239)</x:f>
        <x:v>玲珑</x:v>
      </x:c>
      <x:c r="C45" s="64" t="str">
        <x:f>IF('迁盟总表'!D239="","",'迁盟总表'!D239)</x:f>
        <x:v>玲珑</x:v>
      </x:c>
      <x:c r="D45" s="27" t="str">
        <x:f>IF('迁盟总表'!E239="","",'迁盟总表'!E239)</x:f>
        <x:v>留盟</x:v>
      </x:c>
      <x:c r="E45" s="40" t="n">
        <x:f>IF('迁盟总表'!Q239="","",'迁盟总表'!Q239)</x:f>
        <x:v>1299398240</x:v>
      </x:c>
      <x:c r="F45" s="40" t="n">
        <x:f>IF('迁盟总表'!R239="","",'迁盟总表'!R239)</x:f>
        <x:v>80655688</x:v>
      </x:c>
      <x:c r="G45" s="40" t="n">
        <x:f>IF('迁盟总表'!S239="","",'迁盟总表'!S239)</x:f>
        <x:v>297241491</x:v>
      </x:c>
      <x:c r="H45" s="37" t="n">
        <x:f>IF('迁盟总表'!H239="","",'迁盟总表'!H239)</x:f>
        <x:v>28.8</x:v>
      </x:c>
      <x:c r="I45" s="37" t="n">
        <x:f>IF('迁盟总表'!I239="","",'迁盟总表'!I239)</x:f>
        <x:v>28.6</x:v>
      </x:c>
      <x:c r="J45" s="40" t="n">
        <x:f>IF('迁盟总表'!J239="","",'迁盟总表'!J239)</x:f>
        <x:v>756</x:v>
      </x:c>
      <x:c r="K45" s="40" t="n">
        <x:f>IF('迁盟总表'!K239="","",'迁盟总表'!K239)</x:f>
        <x:v>866</x:v>
      </x:c>
      <x:c r="L45" s="40" t="n">
        <x:f>IF('迁盟总表'!L239="","",'迁盟总表'!L239)</x:f>
        <x:v>649</x:v>
      </x:c>
      <x:c r="M45" s="40" t="n">
        <x:f>IF('迁盟总表'!M239="","",'迁盟总表'!M239)</x:f>
        <x:v>451</x:v>
      </x:c>
      <x:c r="N45" s="40" t="n">
        <x:f>IF('迁盟总表'!N239="","",'迁盟总表'!N239)</x:f>
        <x:v>804</x:v>
      </x:c>
      <x:c r="O45" s="40" t="n">
        <x:f>IF('迁盟总表'!O239="","",'迁盟总表'!O239)</x:f>
        <x:v>763</x:v>
      </x:c>
      <x:c r="P45" s="40" t="n">
        <x:f>IF('迁盟总表'!P239="","",'迁盟总表'!P239)</x:f>
        <x:v>4289</x:v>
      </x:c>
      <x:c r="Q45" s="43" t="n">
        <x:f>IF('迁盟总表'!X239="","",'迁盟总表'!X239)</x:f>
        <x:v>72.1</x:v>
      </x:c>
      <x:c r="R45" s="27" t="n">
        <x:f>IF('迁盟总表'!Y239="","",'迁盟总表'!Y239)</x:f>
        <x:v>162</x:v>
      </x:c>
      <x:c r="S45" s="55" t="str">
        <x:f>IF('迁盟总表'!Z239="","",'迁盟总表'!Z239)</x:f>
        <x:v>保持当前盟，减少迁移成本</x:v>
      </x:c>
    </x:row>
    <x:row r="46" ht="20" customHeight="1">
      <x:c r="A46" s="26" t="str">
        <x:f>IF('迁盟总表'!B240="","",'迁盟总表'!B240)</x:f>
        <x:v>飞马盗</x:v>
      </x:c>
      <x:c r="B46" s="27" t="str">
        <x:f>IF('迁盟总表'!C240="","",'迁盟总表'!C240)</x:f>
        <x:v>玲珑</x:v>
      </x:c>
      <x:c r="C46" s="64" t="str">
        <x:f>IF('迁盟总表'!D240="","",'迁盟总表'!D240)</x:f>
        <x:v>玲珑</x:v>
      </x:c>
      <x:c r="D46" s="27" t="str">
        <x:f>IF('迁盟总表'!E240="","",'迁盟总表'!E240)</x:f>
        <x:v>留盟</x:v>
      </x:c>
      <x:c r="E46" s="40" t="n">
        <x:f>IF('迁盟总表'!Q240="","",'迁盟总表'!Q240)</x:f>
        <x:v>4902341818</x:v>
      </x:c>
      <x:c r="F46" s="40" t="n">
        <x:f>IF('迁盟总表'!R240="","",'迁盟总表'!R240)</x:f>
        <x:v>76993463</x:v>
      </x:c>
      <x:c r="G46" s="40" t="n">
        <x:f>IF('迁盟总表'!S240="","",'迁盟总表'!S240)</x:f>
        <x:v>258974231</x:v>
      </x:c>
      <x:c r="H46" s="37" t="n">
        <x:f>IF('迁盟总表'!H240="","",'迁盟总表'!H240)</x:f>
        <x:v>27.3</x:v>
      </x:c>
      <x:c r="I46" s="37" t="n">
        <x:f>IF('迁盟总表'!I240="","",'迁盟总表'!I240)</x:f>
        <x:v>27.3</x:v>
      </x:c>
      <x:c r="J46" s="40" t="n">
        <x:f>IF('迁盟总表'!J240="","",'迁盟总表'!J240)</x:f>
        <x:v>721</x:v>
      </x:c>
      <x:c r="K46" s="40" t="n">
        <x:f>IF('迁盟总表'!K240="","",'迁盟总表'!K240)</x:f>
        <x:v>769</x:v>
      </x:c>
      <x:c r="L46" s="40" t="n">
        <x:f>IF('迁盟总表'!L240="","",'迁盟总表'!L240)</x:f>
        <x:v>602</x:v>
      </x:c>
      <x:c r="M46" s="40" t="n">
        <x:f>IF('迁盟总表'!M240="","",'迁盟总表'!M240)</x:f>
        <x:v>486</x:v>
      </x:c>
      <x:c r="N46" s="40" t="n">
        <x:f>IF('迁盟总表'!N240="","",'迁盟总表'!N240)</x:f>
        <x:v>655</x:v>
      </x:c>
      <x:c r="O46" s="40" t="n">
        <x:f>IF('迁盟总表'!O240="","",'迁盟总表'!O240)</x:f>
        <x:v>685</x:v>
      </x:c>
      <x:c r="P46" s="40" t="n">
        <x:f>IF('迁盟总表'!P240="","",'迁盟总表'!P240)</x:f>
        <x:v>3918</x:v>
      </x:c>
      <x:c r="Q46" s="43" t="n">
        <x:f>IF('迁盟总表'!X240="","",'迁盟总表'!X240)</x:f>
        <x:v>71.8</x:v>
      </x:c>
      <x:c r="R46" s="27" t="n">
        <x:f>IF('迁盟总表'!Y240="","",'迁盟总表'!Y240)</x:f>
        <x:v>170</x:v>
      </x:c>
      <x:c r="S46" s="55" t="str">
        <x:f>IF('迁盟总表'!Z240="","",'迁盟总表'!Z240)</x:f>
        <x:v>保持当前盟，减少迁移成本</x:v>
      </x:c>
    </x:row>
    <x:row r="47" ht="20" customHeight="1">
      <x:c r="A47" s="26" t="str">
        <x:f>IF('迁盟总表'!B241="","",'迁盟总表'!B241)</x:f>
        <x:v>七言哥哥</x:v>
      </x:c>
      <x:c r="B47" s="27" t="str">
        <x:f>IF('迁盟总表'!C241="","",'迁盟总表'!C241)</x:f>
        <x:v>玲珑</x:v>
      </x:c>
      <x:c r="C47" s="64" t="str">
        <x:f>IF('迁盟总表'!D241="","",'迁盟总表'!D241)</x:f>
        <x:v>玲珑</x:v>
      </x:c>
      <x:c r="D47" s="27" t="str">
        <x:f>IF('迁盟总表'!E241="","",'迁盟总表'!E241)</x:f>
        <x:v>留盟</x:v>
      </x:c>
      <x:c r="E47" s="40" t="n">
        <x:f>IF('迁盟总表'!Q241="","",'迁盟总表'!Q241)</x:f>
        <x:v>2370229836</x:v>
      </x:c>
      <x:c r="F47" s="40" t="n">
        <x:f>IF('迁盟总表'!R241="","",'迁盟总表'!R241)</x:f>
        <x:v>87463238</x:v>
      </x:c>
      <x:c r="G47" s="40" t="n">
        <x:f>IF('迁盟总表'!S241="","",'迁盟总表'!S241)</x:f>
        <x:v>220977063</x:v>
      </x:c>
      <x:c r="H47" s="37" t="n">
        <x:f>IF('迁盟总表'!H241="","",'迁盟总表'!H241)</x:f>
        <x:v>27.8</x:v>
      </x:c>
      <x:c r="I47" s="37" t="n">
        <x:f>IF('迁盟总表'!I241="","",'迁盟总表'!I241)</x:f>
        <x:v>27.8</x:v>
      </x:c>
      <x:c r="J47" s="40" t="n">
        <x:f>IF('迁盟总表'!J241="","",'迁盟总表'!J241)</x:f>
        <x:v>650</x:v>
      </x:c>
      <x:c r="K47" s="40" t="n">
        <x:f>IF('迁盟总表'!K241="","",'迁盟总表'!K241)</x:f>
        <x:v>700</x:v>
      </x:c>
      <x:c r="L47" s="40" t="n">
        <x:f>IF('迁盟总表'!L241="","",'迁盟总表'!L241)</x:f>
        <x:v>580</x:v>
      </x:c>
      <x:c r="M47" s="40" t="n">
        <x:f>IF('迁盟总表'!M241="","",'迁盟总表'!M241)</x:f>
        <x:v>590</x:v>
      </x:c>
      <x:c r="N47" s="40" t="n">
        <x:f>IF('迁盟总表'!N241="","",'迁盟总表'!N241)</x:f>
        <x:v>650</x:v>
      </x:c>
      <x:c r="O47" s="40" t="n">
        <x:f>IF('迁盟总表'!O241="","",'迁盟总表'!O241)</x:f>
        <x:v>500</x:v>
      </x:c>
      <x:c r="P47" s="40" t="n">
        <x:f>IF('迁盟总表'!P241="","",'迁盟总表'!P241)</x:f>
        <x:v>3670</x:v>
      </x:c>
      <x:c r="Q47" s="43" t="n">
        <x:f>IF('迁盟总表'!X241="","",'迁盟总表'!X241)</x:f>
        <x:v>71.7</x:v>
      </x:c>
      <x:c r="R47" s="27" t="n">
        <x:f>IF('迁盟总表'!Y241="","",'迁盟总表'!Y241)</x:f>
        <x:v>172</x:v>
      </x:c>
      <x:c r="S47" s="55" t="str">
        <x:f>IF('迁盟总表'!Z241="","",'迁盟总表'!Z241)</x:f>
        <x:v>保持当前盟，减少迁移成本</x:v>
      </x:c>
    </x:row>
    <x:row r="48" ht="20" customHeight="1">
      <x:c r="A48" s="26" t="str">
        <x:f>IF('迁盟总表'!B242="","",'迁盟总表'!B242)</x:f>
        <x:v>我就是大饼</x:v>
      </x:c>
      <x:c r="B48" s="27" t="str">
        <x:f>IF('迁盟总表'!C242="","",'迁盟总表'!C242)</x:f>
        <x:v>玲珑</x:v>
      </x:c>
      <x:c r="C48" s="64" t="str">
        <x:f>IF('迁盟总表'!D242="","",'迁盟总表'!D242)</x:f>
        <x:v>玲珑</x:v>
      </x:c>
      <x:c r="D48" s="27" t="str">
        <x:f>IF('迁盟总表'!E242="","",'迁盟总表'!E242)</x:f>
        <x:v>留盟</x:v>
      </x:c>
      <x:c r="E48" s="40" t="n">
        <x:f>IF('迁盟总表'!Q242="","",'迁盟总表'!Q242)</x:f>
        <x:v>719607622</x:v>
      </x:c>
      <x:c r="F48" s="40" t="n">
        <x:f>IF('迁盟总表'!R242="","",'迁盟总表'!R242)</x:f>
        <x:v>83370778</x:v>
      </x:c>
      <x:c r="G48" s="40" t="n">
        <x:f>IF('迁盟总表'!S242="","",'迁盟总表'!S242)</x:f>
        <x:v>311078075</x:v>
      </x:c>
      <x:c r="H48" s="37" t="n">
        <x:f>IF('迁盟总表'!H242="","",'迁盟总表'!H242)</x:f>
        <x:v>24.6</x:v>
      </x:c>
      <x:c r="I48" s="37" t="n">
        <x:f>IF('迁盟总表'!I242="","",'迁盟总表'!I242)</x:f>
        <x:v>24.6</x:v>
      </x:c>
      <x:c r="J48" s="40" t="n">
        <x:f>IF('迁盟总表'!J242="","",'迁盟总表'!J242)</x:f>
        <x:v>670</x:v>
      </x:c>
      <x:c r="K48" s="40" t="n">
        <x:f>IF('迁盟总表'!K242="","",'迁盟总表'!K242)</x:f>
        <x:v>750</x:v>
      </x:c>
      <x:c r="L48" s="40" t="n">
        <x:f>IF('迁盟总表'!L242="","",'迁盟总表'!L242)</x:f>
        <x:v>610</x:v>
      </x:c>
      <x:c r="M48" s="40" t="n">
        <x:f>IF('迁盟总表'!M242="","",'迁盟总表'!M242)</x:f>
        <x:v>570</x:v>
      </x:c>
      <x:c r="N48" s="40" t="n">
        <x:f>IF('迁盟总表'!N242="","",'迁盟总表'!N242)</x:f>
        <x:v>710</x:v>
      </x:c>
      <x:c r="O48" s="40" t="n">
        <x:f>IF('迁盟总表'!O242="","",'迁盟总表'!O242)</x:f>
        <x:v>585</x:v>
      </x:c>
      <x:c r="P48" s="40" t="n">
        <x:f>IF('迁盟总表'!P242="","",'迁盟总表'!P242)</x:f>
        <x:v>3895</x:v>
      </x:c>
      <x:c r="Q48" s="43" t="n">
        <x:f>IF('迁盟总表'!X242="","",'迁盟总表'!X242)</x:f>
        <x:v>71.6</x:v>
      </x:c>
      <x:c r="R48" s="27" t="n">
        <x:f>IF('迁盟总表'!Y242="","",'迁盟总表'!Y242)</x:f>
        <x:v>174</x:v>
      </x:c>
      <x:c r="S48" s="55" t="str">
        <x:f>IF('迁盟总表'!Z242="","",'迁盟总表'!Z242)</x:f>
        <x:v>保持当前盟，减少迁移成本</x:v>
      </x:c>
    </x:row>
    <x:row r="49" ht="20" customHeight="1">
      <x:c r="A49" s="26" t="str">
        <x:f>IF('迁盟总表'!B243="","",'迁盟总表'!B243)</x:f>
        <x:v>挨刀阿倩倩</x:v>
      </x:c>
      <x:c r="B49" s="27" t="str">
        <x:f>IF('迁盟总表'!C243="","",'迁盟总表'!C243)</x:f>
        <x:v>玲珑</x:v>
      </x:c>
      <x:c r="C49" s="64" t="str">
        <x:f>IF('迁盟总表'!D243="","",'迁盟总表'!D243)</x:f>
        <x:v>玲珑</x:v>
      </x:c>
      <x:c r="D49" s="27" t="str">
        <x:f>IF('迁盟总表'!E243="","",'迁盟总表'!E243)</x:f>
        <x:v>留盟</x:v>
      </x:c>
      <x:c r="E49" s="40" t="n">
        <x:f>IF('迁盟总表'!Q243="","",'迁盟总表'!Q243)</x:f>
        <x:v>1384775388</x:v>
      </x:c>
      <x:c r="F49" s="40" t="n">
        <x:f>IF('迁盟总表'!R243="","",'迁盟总表'!R243)</x:f>
        <x:v>78460271</x:v>
      </x:c>
      <x:c r="G49" s="40" t="n">
        <x:f>IF('迁盟总表'!S243="","",'迁盟总表'!S243)</x:f>
        <x:v>264231404</x:v>
      </x:c>
      <x:c r="H49" s="37" t="str">
        <x:f>IF('迁盟总表'!H243="","",'迁盟总表'!H243)</x:f>
      </x:c>
      <x:c r="I49" s="37" t="str">
        <x:f>IF('迁盟总表'!I243="","",'迁盟总表'!I243)</x:f>
      </x:c>
      <x:c r="J49" s="40" t="str">
        <x:f>IF('迁盟总表'!J243="","",'迁盟总表'!J243)</x:f>
      </x:c>
      <x:c r="K49" s="40" t="str">
        <x:f>IF('迁盟总表'!K243="","",'迁盟总表'!K243)</x:f>
      </x:c>
      <x:c r="L49" s="40" t="str">
        <x:f>IF('迁盟总表'!L243="","",'迁盟总表'!L243)</x:f>
      </x:c>
      <x:c r="M49" s="40" t="str">
        <x:f>IF('迁盟总表'!M243="","",'迁盟总表'!M243)</x:f>
      </x:c>
      <x:c r="N49" s="40" t="str">
        <x:f>IF('迁盟总表'!N243="","",'迁盟总表'!N243)</x:f>
      </x:c>
      <x:c r="O49" s="40" t="str">
        <x:f>IF('迁盟总表'!O243="","",'迁盟总表'!O243)</x:f>
      </x:c>
      <x:c r="P49" s="40" t="str">
        <x:f>IF('迁盟总表'!P243="","",'迁盟总表'!P243)</x:f>
      </x:c>
      <x:c r="Q49" s="43" t="n">
        <x:f>IF('迁盟总表'!X243="","",'迁盟总表'!X243)</x:f>
        <x:v>71.1</x:v>
      </x:c>
      <x:c r="R49" s="27" t="n">
        <x:f>IF('迁盟总表'!Y243="","",'迁盟总表'!Y243)</x:f>
        <x:v>186</x:v>
      </x:c>
      <x:c r="S49" s="55" t="str">
        <x:f>IF('迁盟总表'!Z243="","",'迁盟总表'!Z243)</x:f>
        <x:v>保持当前盟，减少迁移成本</x:v>
      </x:c>
    </x:row>
    <x:row r="50" ht="20" customHeight="1">
      <x:c r="A50" s="26" t="str">
        <x:f>IF('迁盟总表'!B244="","",'迁盟总表'!B244)</x:f>
        <x:v>桃花灼灼</x:v>
      </x:c>
      <x:c r="B50" s="27" t="str">
        <x:f>IF('迁盟总表'!C244="","",'迁盟总表'!C244)</x:f>
        <x:v>玲珑</x:v>
      </x:c>
      <x:c r="C50" s="64" t="str">
        <x:f>IF('迁盟总表'!D244="","",'迁盟总表'!D244)</x:f>
        <x:v>玲珑</x:v>
      </x:c>
      <x:c r="D50" s="27" t="str">
        <x:f>IF('迁盟总表'!E244="","",'迁盟总表'!E244)</x:f>
        <x:v>留盟</x:v>
      </x:c>
      <x:c r="E50" s="40" t="n">
        <x:f>IF('迁盟总表'!Q244="","",'迁盟总表'!Q244)</x:f>
        <x:v>428683826</x:v>
      </x:c>
      <x:c r="F50" s="40" t="n">
        <x:f>IF('迁盟总表'!R244="","",'迁盟总表'!R244)</x:f>
        <x:v>87166825</x:v>
      </x:c>
      <x:c r="G50" s="40" t="n">
        <x:f>IF('迁盟总表'!S244="","",'迁盟总表'!S244)</x:f>
        <x:v>284001189</x:v>
      </x:c>
      <x:c r="H50" s="37" t="n">
        <x:f>IF('迁盟总表'!H244="","",'迁盟总表'!H244)</x:f>
        <x:v>27.9</x:v>
      </x:c>
      <x:c r="I50" s="37" t="n">
        <x:f>IF('迁盟总表'!I244="","",'迁盟总表'!I244)</x:f>
        <x:v>27.9</x:v>
      </x:c>
      <x:c r="J50" s="40" t="n">
        <x:f>IF('迁盟总表'!J244="","",'迁盟总表'!J244)</x:f>
        <x:v>731</x:v>
      </x:c>
      <x:c r="K50" s="40" t="n">
        <x:f>IF('迁盟总表'!K244="","",'迁盟总表'!K244)</x:f>
        <x:v>871</x:v>
      </x:c>
      <x:c r="L50" s="40" t="n">
        <x:f>IF('迁盟总表'!L244="","",'迁盟总表'!L244)</x:f>
        <x:v>573</x:v>
      </x:c>
      <x:c r="M50" s="40" t="n">
        <x:f>IF('迁盟总表'!M244="","",'迁盟总表'!M244)</x:f>
        <x:v>459</x:v>
      </x:c>
      <x:c r="N50" s="40" t="n">
        <x:f>IF('迁盟总表'!N244="","",'迁盟总表'!N244)</x:f>
        <x:v>655</x:v>
      </x:c>
      <x:c r="O50" s="40" t="n">
        <x:f>IF('迁盟总表'!O244="","",'迁盟总表'!O244)</x:f>
        <x:v>647</x:v>
      </x:c>
      <x:c r="P50" s="40" t="n">
        <x:f>IF('迁盟总表'!P244="","",'迁盟总表'!P244)</x:f>
        <x:v>3936</x:v>
      </x:c>
      <x:c r="Q50" s="43" t="n">
        <x:f>IF('迁盟总表'!X244="","",'迁盟总表'!X244)</x:f>
        <x:v>71</x:v>
      </x:c>
      <x:c r="R50" s="27" t="n">
        <x:f>IF('迁盟总表'!Y244="","",'迁盟总表'!Y244)</x:f>
        <x:v>188</x:v>
      </x:c>
      <x:c r="S50" s="55" t="str">
        <x:f>IF('迁盟总表'!Z244="","",'迁盟总表'!Z244)</x:f>
        <x:v>保持当前盟，减少迁移成本</x:v>
      </x:c>
    </x:row>
    <x:row r="51" ht="20" customHeight="1">
      <x:c r="A51" s="26" t="str">
        <x:f>IF('迁盟总表'!B245="","",'迁盟总表'!B245)</x:f>
        <x:v>咳咳咳</x:v>
      </x:c>
      <x:c r="B51" s="27" t="str">
        <x:f>IF('迁盟总表'!C245="","",'迁盟总表'!C245)</x:f>
        <x:v>玲珑</x:v>
      </x:c>
      <x:c r="C51" s="64" t="str">
        <x:f>IF('迁盟总表'!D245="","",'迁盟总表'!D245)</x:f>
        <x:v>玲珑</x:v>
      </x:c>
      <x:c r="D51" s="27" t="str">
        <x:f>IF('迁盟总表'!E245="","",'迁盟总表'!E245)</x:f>
        <x:v>留盟</x:v>
      </x:c>
      <x:c r="E51" s="40" t="n">
        <x:f>IF('迁盟总表'!Q245="","",'迁盟总表'!Q245)</x:f>
        <x:v>1601005442</x:v>
      </x:c>
      <x:c r="F51" s="40" t="n">
        <x:f>IF('迁盟总表'!R245="","",'迁盟总表'!R245)</x:f>
        <x:v>79605159</x:v>
      </x:c>
      <x:c r="G51" s="40" t="n">
        <x:f>IF('迁盟总表'!S245="","",'迁盟总表'!S245)</x:f>
        <x:v>239694220</x:v>
      </x:c>
      <x:c r="H51" s="37" t="str">
        <x:f>IF('迁盟总表'!H245="","",'迁盟总表'!H245)</x:f>
      </x:c>
      <x:c r="I51" s="37" t="str">
        <x:f>IF('迁盟总表'!I245="","",'迁盟总表'!I245)</x:f>
      </x:c>
      <x:c r="J51" s="40" t="str">
        <x:f>IF('迁盟总表'!J245="","",'迁盟总表'!J245)</x:f>
      </x:c>
      <x:c r="K51" s="40" t="str">
        <x:f>IF('迁盟总表'!K245="","",'迁盟总表'!K245)</x:f>
      </x:c>
      <x:c r="L51" s="40" t="str">
        <x:f>IF('迁盟总表'!L245="","",'迁盟总表'!L245)</x:f>
      </x:c>
      <x:c r="M51" s="40" t="str">
        <x:f>IF('迁盟总表'!M245="","",'迁盟总表'!M245)</x:f>
      </x:c>
      <x:c r="N51" s="40" t="str">
        <x:f>IF('迁盟总表'!N245="","",'迁盟总表'!N245)</x:f>
      </x:c>
      <x:c r="O51" s="40" t="str">
        <x:f>IF('迁盟总表'!O245="","",'迁盟总表'!O245)</x:f>
      </x:c>
      <x:c r="P51" s="40" t="str">
        <x:f>IF('迁盟总表'!P245="","",'迁盟总表'!P245)</x:f>
      </x:c>
      <x:c r="Q51" s="43" t="n">
        <x:f>IF('迁盟总表'!X245="","",'迁盟总表'!X245)</x:f>
        <x:v>70.9</x:v>
      </x:c>
      <x:c r="R51" s="27" t="n">
        <x:f>IF('迁盟总表'!Y245="","",'迁盟总表'!Y245)</x:f>
        <x:v>190</x:v>
      </x:c>
      <x:c r="S51" s="55" t="str">
        <x:f>IF('迁盟总表'!Z245="","",'迁盟总表'!Z245)</x:f>
        <x:v>保持当前盟，减少迁移成本</x:v>
      </x:c>
    </x:row>
    <x:row r="52" ht="20" customHeight="1">
      <x:c r="A52" s="26" t="str">
        <x:f>IF('迁盟总表'!B246="","",'迁盟总表'!B246)</x:f>
        <x:v>毛大王</x:v>
      </x:c>
      <x:c r="B52" s="27" t="str">
        <x:f>IF('迁盟总表'!C246="","",'迁盟总表'!C246)</x:f>
        <x:v>玲珑</x:v>
      </x:c>
      <x:c r="C52" s="64" t="str">
        <x:f>IF('迁盟总表'!D246="","",'迁盟总表'!D246)</x:f>
        <x:v>玲珑</x:v>
      </x:c>
      <x:c r="D52" s="27" t="str">
        <x:f>IF('迁盟总表'!E246="","",'迁盟总表'!E246)</x:f>
        <x:v>留盟</x:v>
      </x:c>
      <x:c r="E52" s="40" t="n">
        <x:f>IF('迁盟总表'!Q246="","",'迁盟总表'!Q246)</x:f>
        <x:v>2927714536</x:v>
      </x:c>
      <x:c r="F52" s="40" t="n">
        <x:f>IF('迁盟总表'!R246="","",'迁盟总表'!R246)</x:f>
        <x:v>80240035</x:v>
      </x:c>
      <x:c r="G52" s="40" t="n">
        <x:f>IF('迁盟总表'!S246="","",'迁盟总表'!S246)</x:f>
        <x:v>243299785</x:v>
      </x:c>
      <x:c r="H52" s="37" t="n">
        <x:f>IF('迁盟总表'!H246="","",'迁盟总表'!H246)</x:f>
        <x:v>28.8</x:v>
      </x:c>
      <x:c r="I52" s="37" t="n">
        <x:f>IF('迁盟总表'!I246="","",'迁盟总表'!I246)</x:f>
        <x:v>27.8</x:v>
      </x:c>
      <x:c r="J52" s="40" t="n">
        <x:f>IF('迁盟总表'!J246="","",'迁盟总表'!J246)</x:f>
        <x:v>686</x:v>
      </x:c>
      <x:c r="K52" s="40" t="n">
        <x:f>IF('迁盟总表'!K246="","",'迁盟总表'!K246)</x:f>
        <x:v>699</x:v>
      </x:c>
      <x:c r="L52" s="40" t="n">
        <x:f>IF('迁盟总表'!L246="","",'迁盟总表'!L246)</x:f>
        <x:v>520</x:v>
      </x:c>
      <x:c r="M52" s="40" t="n">
        <x:f>IF('迁盟总表'!M246="","",'迁盟总表'!M246)</x:f>
        <x:v>439</x:v>
      </x:c>
      <x:c r="N52" s="40" t="n">
        <x:f>IF('迁盟总表'!N246="","",'迁盟总表'!N246)</x:f>
        <x:v>700</x:v>
      </x:c>
      <x:c r="O52" s="40" t="n">
        <x:f>IF('迁盟总表'!O246="","",'迁盟总表'!O246)</x:f>
        <x:v>595</x:v>
      </x:c>
      <x:c r="P52" s="40" t="n">
        <x:f>IF('迁盟总表'!P246="","",'迁盟总表'!P246)</x:f>
        <x:v>3639</x:v>
      </x:c>
      <x:c r="Q52" s="43" t="n">
        <x:f>IF('迁盟总表'!X246="","",'迁盟总表'!X246)</x:f>
        <x:v>70.8</x:v>
      </x:c>
      <x:c r="R52" s="27" t="n">
        <x:f>IF('迁盟总表'!Y246="","",'迁盟总表'!Y246)</x:f>
        <x:v>192</x:v>
      </x:c>
      <x:c r="S52" s="55" t="str">
        <x:f>IF('迁盟总表'!Z246="","",'迁盟总表'!Z246)</x:f>
        <x:v>保持当前盟，减少迁移成本</x:v>
      </x:c>
    </x:row>
    <x:row r="53" ht="20" customHeight="1">
      <x:c r="A53" s="26" t="str">
        <x:f>IF('迁盟总表'!B247="","",'迁盟总表'!B247)</x:f>
        <x:v>蓝天予我</x:v>
      </x:c>
      <x:c r="B53" s="27" t="str">
        <x:f>IF('迁盟总表'!C247="","",'迁盟总表'!C247)</x:f>
        <x:v>玲珑</x:v>
      </x:c>
      <x:c r="C53" s="64" t="str">
        <x:f>IF('迁盟总表'!D247="","",'迁盟总表'!D247)</x:f>
        <x:v>玲珑</x:v>
      </x:c>
      <x:c r="D53" s="27" t="str">
        <x:f>IF('迁盟总表'!E247="","",'迁盟总表'!E247)</x:f>
        <x:v>留盟</x:v>
      </x:c>
      <x:c r="E53" s="40" t="n">
        <x:f>IF('迁盟总表'!Q247="","",'迁盟总表'!Q247)</x:f>
        <x:v>1828839692</x:v>
      </x:c>
      <x:c r="F53" s="40" t="n">
        <x:f>IF('迁盟总表'!R247="","",'迁盟总表'!R247)</x:f>
        <x:v>76105712</x:v>
      </x:c>
      <x:c r="G53" s="40" t="n">
        <x:f>IF('迁盟总表'!S247="","",'迁盟总表'!S247)</x:f>
        <x:v>233474101</x:v>
      </x:c>
      <x:c r="H53" s="37" t="str">
        <x:f>IF('迁盟总表'!H247="","",'迁盟总表'!H247)</x:f>
      </x:c>
      <x:c r="I53" s="37" t="str">
        <x:f>IF('迁盟总表'!I247="","",'迁盟总表'!I247)</x:f>
      </x:c>
      <x:c r="J53" s="40" t="str">
        <x:f>IF('迁盟总表'!J247="","",'迁盟总表'!J247)</x:f>
      </x:c>
      <x:c r="K53" s="40" t="str">
        <x:f>IF('迁盟总表'!K247="","",'迁盟总表'!K247)</x:f>
      </x:c>
      <x:c r="L53" s="40" t="str">
        <x:f>IF('迁盟总表'!L247="","",'迁盟总表'!L247)</x:f>
      </x:c>
      <x:c r="M53" s="40" t="str">
        <x:f>IF('迁盟总表'!M247="","",'迁盟总表'!M247)</x:f>
      </x:c>
      <x:c r="N53" s="40" t="str">
        <x:f>IF('迁盟总表'!N247="","",'迁盟总表'!N247)</x:f>
      </x:c>
      <x:c r="O53" s="40" t="str">
        <x:f>IF('迁盟总表'!O247="","",'迁盟总表'!O247)</x:f>
      </x:c>
      <x:c r="P53" s="40" t="str">
        <x:f>IF('迁盟总表'!P247="","",'迁盟总表'!P247)</x:f>
      </x:c>
      <x:c r="Q53" s="43" t="n">
        <x:f>IF('迁盟总表'!X247="","",'迁盟总表'!X247)</x:f>
        <x:v>70</x:v>
      </x:c>
      <x:c r="R53" s="27" t="n">
        <x:f>IF('迁盟总表'!Y247="","",'迁盟总表'!Y247)</x:f>
        <x:v>207</x:v>
      </x:c>
      <x:c r="S53" s="55" t="str">
        <x:f>IF('迁盟总表'!Z247="","",'迁盟总表'!Z247)</x:f>
        <x:v>保持当前盟，减少迁移成本</x:v>
      </x:c>
    </x:row>
    <x:row r="54" ht="20" customHeight="1">
      <x:c r="A54" s="26" t="str">
        <x:f>IF('迁盟总表'!B248="","",'迁盟总表'!B248)</x:f>
        <x:v>鬼麒主伏字曦</x:v>
      </x:c>
      <x:c r="B54" s="27" t="str">
        <x:f>IF('迁盟总表'!C248="","",'迁盟总表'!C248)</x:f>
        <x:v>玲珑</x:v>
      </x:c>
      <x:c r="C54" s="64" t="str">
        <x:f>IF('迁盟总表'!D248="","",'迁盟总表'!D248)</x:f>
        <x:v>玲珑</x:v>
      </x:c>
      <x:c r="D54" s="27" t="str">
        <x:f>IF('迁盟总表'!E248="","",'迁盟总表'!E248)</x:f>
        <x:v>留盟</x:v>
      </x:c>
      <x:c r="E54" s="40" t="n">
        <x:f>IF('迁盟总表'!Q248="","",'迁盟总表'!Q248)</x:f>
        <x:v>263385258</x:v>
      </x:c>
      <x:c r="F54" s="40" t="n">
        <x:f>IF('迁盟总表'!R248="","",'迁盟总表'!R248)</x:f>
        <x:v>83232761</x:v>
      </x:c>
      <x:c r="G54" s="40" t="n">
        <x:f>IF('迁盟总表'!S248="","",'迁盟总表'!S248)</x:f>
        <x:v>285945617</x:v>
      </x:c>
      <x:c r="H54" s="37" t="n">
        <x:f>IF('迁盟总表'!H248="","",'迁盟总表'!H248)</x:f>
        <x:v>28.8</x:v>
      </x:c>
      <x:c r="I54" s="37" t="n">
        <x:f>IF('迁盟总表'!I248="","",'迁盟总表'!I248)</x:f>
        <x:v>28.8</x:v>
      </x:c>
      <x:c r="J54" s="40" t="n">
        <x:f>IF('迁盟总表'!J248="","",'迁盟总表'!J248)</x:f>
        <x:v>764</x:v>
      </x:c>
      <x:c r="K54" s="40" t="n">
        <x:f>IF('迁盟总表'!K248="","",'迁盟总表'!K248)</x:f>
        <x:v>862</x:v>
      </x:c>
      <x:c r="L54" s="40" t="n">
        <x:f>IF('迁盟总表'!L248="","",'迁盟总表'!L248)</x:f>
        <x:v>600</x:v>
      </x:c>
      <x:c r="M54" s="40" t="n">
        <x:f>IF('迁盟总表'!M248="","",'迁盟总表'!M248)</x:f>
        <x:v>528</x:v>
      </x:c>
      <x:c r="N54" s="40" t="n">
        <x:f>IF('迁盟总表'!N248="","",'迁盟总表'!N248)</x:f>
        <x:v>722</x:v>
      </x:c>
      <x:c r="O54" s="40" t="n">
        <x:f>IF('迁盟总表'!O248="","",'迁盟总表'!O248)</x:f>
        <x:v>759</x:v>
      </x:c>
      <x:c r="P54" s="40" t="n">
        <x:f>IF('迁盟总表'!P248="","",'迁盟总表'!P248)</x:f>
        <x:v>4235</x:v>
      </x:c>
      <x:c r="Q54" s="43" t="n">
        <x:f>IF('迁盟总表'!X248="","",'迁盟总表'!X248)</x:f>
        <x:v>69.7</x:v>
      </x:c>
      <x:c r="R54" s="27" t="n">
        <x:f>IF('迁盟总表'!Y248="","",'迁盟总表'!Y248)</x:f>
        <x:v>211</x:v>
      </x:c>
      <x:c r="S54" s="55" t="str">
        <x:f>IF('迁盟总表'!Z248="","",'迁盟总表'!Z248)</x:f>
        <x:v>保持当前盟，减少迁移成本</x:v>
      </x:c>
    </x:row>
    <x:row r="55" ht="20" customHeight="1">
      <x:c r="A55" s="26" t="str">
        <x:f>IF('迁盟总表'!B249="","",'迁盟总表'!B249)</x:f>
        <x:v>晚安鸭</x:v>
      </x:c>
      <x:c r="B55" s="27" t="str">
        <x:f>IF('迁盟总表'!C249="","",'迁盟总表'!C249)</x:f>
        <x:v>玲珑</x:v>
      </x:c>
      <x:c r="C55" s="64" t="str">
        <x:f>IF('迁盟总表'!D249="","",'迁盟总表'!D249)</x:f>
        <x:v>玲珑</x:v>
      </x:c>
      <x:c r="D55" s="27" t="str">
        <x:f>IF('迁盟总表'!E249="","",'迁盟总表'!E249)</x:f>
        <x:v>留盟</x:v>
      </x:c>
      <x:c r="E55" s="40" t="n">
        <x:f>IF('迁盟总表'!Q249="","",'迁盟总表'!Q249)</x:f>
        <x:v>4597801396</x:v>
      </x:c>
      <x:c r="F55" s="40" t="n">
        <x:f>IF('迁盟总表'!R249="","",'迁盟总表'!R249)</x:f>
        <x:v>76600598</x:v>
      </x:c>
      <x:c r="G55" s="40" t="n">
        <x:f>IF('迁盟总表'!S249="","",'迁盟总表'!S249)</x:f>
        <x:v>204658226</x:v>
      </x:c>
      <x:c r="H55" s="37" t="n">
        <x:f>IF('迁盟总表'!H249="","",'迁盟总表'!H249)</x:f>
        <x:v>26.7</x:v>
      </x:c>
      <x:c r="I55" s="37" t="n">
        <x:f>IF('迁盟总表'!I249="","",'迁盟总表'!I249)</x:f>
        <x:v>26.7</x:v>
      </x:c>
      <x:c r="J55" s="40" t="n">
        <x:f>IF('迁盟总表'!J249="","",'迁盟总表'!J249)</x:f>
        <x:v>696</x:v>
      </x:c>
      <x:c r="K55" s="40" t="n">
        <x:f>IF('迁盟总表'!K249="","",'迁盟总表'!K249)</x:f>
        <x:v>646</x:v>
      </x:c>
      <x:c r="L55" s="40" t="n">
        <x:f>IF('迁盟总表'!L249="","",'迁盟总表'!L249)</x:f>
        <x:v>623</x:v>
      </x:c>
      <x:c r="M55" s="40" t="n">
        <x:f>IF('迁盟总表'!M249="","",'迁盟总表'!M249)</x:f>
        <x:v>445</x:v>
      </x:c>
      <x:c r="N55" s="40" t="n">
        <x:f>IF('迁盟总表'!N249="","",'迁盟总表'!N249)</x:f>
        <x:v>690</x:v>
      </x:c>
      <x:c r="O55" s="40" t="n">
        <x:f>IF('迁盟总表'!O249="","",'迁盟总表'!O249)</x:f>
        <x:v>440</x:v>
      </x:c>
      <x:c r="P55" s="40" t="n">
        <x:f>IF('迁盟总表'!P249="","",'迁盟总表'!P249)</x:f>
        <x:v>3540</x:v>
      </x:c>
      <x:c r="Q55" s="43" t="n">
        <x:f>IF('迁盟总表'!X249="","",'迁盟总表'!X249)</x:f>
        <x:v>69.4</x:v>
      </x:c>
      <x:c r="R55" s="27" t="n">
        <x:f>IF('迁盟总表'!Y249="","",'迁盟总表'!Y249)</x:f>
        <x:v>214</x:v>
      </x:c>
      <x:c r="S55" s="55" t="str">
        <x:f>IF('迁盟总表'!Z249="","",'迁盟总表'!Z249)</x:f>
        <x:v>保持当前盟，减少迁移成本</x:v>
      </x:c>
    </x:row>
    <x:row r="56" ht="20" customHeight="1">
      <x:c r="A56" s="26" t="str">
        <x:f>IF('迁盟总表'!B250="","",'迁盟总表'!B250)</x:f>
        <x:v>取名为依</x:v>
      </x:c>
      <x:c r="B56" s="27" t="str">
        <x:f>IF('迁盟总表'!C250="","",'迁盟总表'!C250)</x:f>
        <x:v>玲珑</x:v>
      </x:c>
      <x:c r="C56" s="64" t="str">
        <x:f>IF('迁盟总表'!D250="","",'迁盟总表'!D250)</x:f>
        <x:v>玲珑</x:v>
      </x:c>
      <x:c r="D56" s="27" t="str">
        <x:f>IF('迁盟总表'!E250="","",'迁盟总表'!E250)</x:f>
        <x:v>留盟</x:v>
      </x:c>
      <x:c r="E56" s="40" t="n">
        <x:f>IF('迁盟总表'!Q250="","",'迁盟总表'!Q250)</x:f>
        <x:v>479436852</x:v>
      </x:c>
      <x:c r="F56" s="40" t="n">
        <x:f>IF('迁盟总表'!R250="","",'迁盟总表'!R250)</x:f>
        <x:v>79979370</x:v>
      </x:c>
      <x:c r="G56" s="40" t="n">
        <x:f>IF('迁盟总表'!S250="","",'迁盟总表'!S250)</x:f>
        <x:v>253770833</x:v>
      </x:c>
      <x:c r="H56" s="37" t="str">
        <x:f>IF('迁盟总表'!H250="","",'迁盟总表'!H250)</x:f>
      </x:c>
      <x:c r="I56" s="37" t="str">
        <x:f>IF('迁盟总表'!I250="","",'迁盟总表'!I250)</x:f>
      </x:c>
      <x:c r="J56" s="40" t="str">
        <x:f>IF('迁盟总表'!J250="","",'迁盟总表'!J250)</x:f>
      </x:c>
      <x:c r="K56" s="40" t="str">
        <x:f>IF('迁盟总表'!K250="","",'迁盟总表'!K250)</x:f>
      </x:c>
      <x:c r="L56" s="40" t="str">
        <x:f>IF('迁盟总表'!L250="","",'迁盟总表'!L250)</x:f>
      </x:c>
      <x:c r="M56" s="40" t="str">
        <x:f>IF('迁盟总表'!M250="","",'迁盟总表'!M250)</x:f>
      </x:c>
      <x:c r="N56" s="40" t="str">
        <x:f>IF('迁盟总表'!N250="","",'迁盟总表'!N250)</x:f>
      </x:c>
      <x:c r="O56" s="40" t="str">
        <x:f>IF('迁盟总表'!O250="","",'迁盟总表'!O250)</x:f>
      </x:c>
      <x:c r="P56" s="40" t="str">
        <x:f>IF('迁盟总表'!P250="","",'迁盟总表'!P250)</x:f>
      </x:c>
      <x:c r="Q56" s="43" t="n">
        <x:f>IF('迁盟总表'!X250="","",'迁盟总表'!X250)</x:f>
        <x:v>69.2</x:v>
      </x:c>
      <x:c r="R56" s="27" t="n">
        <x:f>IF('迁盟总表'!Y250="","",'迁盟总表'!Y250)</x:f>
        <x:v>217</x:v>
      </x:c>
      <x:c r="S56" s="55" t="str">
        <x:f>IF('迁盟总表'!Z250="","",'迁盟总表'!Z250)</x:f>
        <x:v>保持当前盟，减少迁移成本</x:v>
      </x:c>
    </x:row>
    <x:row r="57" ht="20" customHeight="1">
      <x:c r="A57" s="26" t="str">
        <x:f>IF('迁盟总表'!B251="","",'迁盟总表'!B251)</x:f>
        <x:v>驭天成</x:v>
      </x:c>
      <x:c r="B57" s="27" t="str">
        <x:f>IF('迁盟总表'!C251="","",'迁盟总表'!C251)</x:f>
        <x:v>玲珑</x:v>
      </x:c>
      <x:c r="C57" s="64" t="str">
        <x:f>IF('迁盟总表'!D251="","",'迁盟总表'!D251)</x:f>
        <x:v>玲珑</x:v>
      </x:c>
      <x:c r="D57" s="27" t="str">
        <x:f>IF('迁盟总表'!E251="","",'迁盟总表'!E251)</x:f>
        <x:v>留盟</x:v>
      </x:c>
      <x:c r="E57" s="40" t="n">
        <x:f>IF('迁盟总表'!Q251="","",'迁盟总表'!Q251)</x:f>
        <x:v>200536358</x:v>
      </x:c>
      <x:c r="F57" s="40" t="n">
        <x:f>IF('迁盟总表'!R251="","",'迁盟总表'!R251)</x:f>
        <x:v>82378747</x:v>
      </x:c>
      <x:c r="G57" s="40" t="n">
        <x:f>IF('迁盟总表'!S251="","",'迁盟总表'!S251)</x:f>
        <x:v>278129329</x:v>
      </x:c>
      <x:c r="H57" s="37" t="n">
        <x:f>IF('迁盟总表'!H251="","",'迁盟总表'!H251)</x:f>
        <x:v>25.3</x:v>
      </x:c>
      <x:c r="I57" s="37" t="n">
        <x:f>IF('迁盟总表'!I251="","",'迁盟总表'!I251)</x:f>
        <x:v>23.7</x:v>
      </x:c>
      <x:c r="J57" s="40" t="str">
        <x:f>IF('迁盟总表'!J251="","",'迁盟总表'!J251)</x:f>
      </x:c>
      <x:c r="K57" s="40" t="str">
        <x:f>IF('迁盟总表'!K251="","",'迁盟总表'!K251)</x:f>
      </x:c>
      <x:c r="L57" s="40" t="str">
        <x:f>IF('迁盟总表'!L251="","",'迁盟总表'!L251)</x:f>
      </x:c>
      <x:c r="M57" s="40" t="str">
        <x:f>IF('迁盟总表'!M251="","",'迁盟总表'!M251)</x:f>
      </x:c>
      <x:c r="N57" s="40" t="str">
        <x:f>IF('迁盟总表'!N251="","",'迁盟总表'!N251)</x:f>
      </x:c>
      <x:c r="O57" s="40" t="str">
        <x:f>IF('迁盟总表'!O251="","",'迁盟总表'!O251)</x:f>
      </x:c>
      <x:c r="P57" s="40" t="str">
        <x:f>IF('迁盟总表'!P251="","",'迁盟总表'!P251)</x:f>
      </x:c>
      <x:c r="Q57" s="43" t="n">
        <x:f>IF('迁盟总表'!X251="","",'迁盟总表'!X251)</x:f>
        <x:v>69</x:v>
      </x:c>
      <x:c r="R57" s="27" t="n">
        <x:f>IF('迁盟总表'!Y251="","",'迁盟总表'!Y251)</x:f>
        <x:v>220</x:v>
      </x:c>
      <x:c r="S57" s="55" t="str">
        <x:f>IF('迁盟总表'!Z251="","",'迁盟总表'!Z251)</x:f>
        <x:v>保持当前盟，减少迁移成本</x:v>
      </x:c>
    </x:row>
    <x:row r="58" ht="20" customHeight="1">
      <x:c r="A58" s="26" t="str">
        <x:f>IF('迁盟总表'!B252="","",'迁盟总表'!B252)</x:f>
        <x:v>一碗吃不饱</x:v>
      </x:c>
      <x:c r="B58" s="27" t="str">
        <x:f>IF('迁盟总表'!C252="","",'迁盟总表'!C252)</x:f>
        <x:v>玲珑</x:v>
      </x:c>
      <x:c r="C58" s="64" t="str">
        <x:f>IF('迁盟总表'!D252="","",'迁盟总表'!D252)</x:f>
        <x:v>玲珑</x:v>
      </x:c>
      <x:c r="D58" s="27" t="str">
        <x:f>IF('迁盟总表'!E252="","",'迁盟总表'!E252)</x:f>
        <x:v>留盟</x:v>
      </x:c>
      <x:c r="E58" s="40" t="n">
        <x:f>IF('迁盟总表'!Q252="","",'迁盟总表'!Q252)</x:f>
        <x:v>844262064</x:v>
      </x:c>
      <x:c r="F58" s="40" t="n">
        <x:f>IF('迁盟总表'!R252="","",'迁盟总表'!R252)</x:f>
        <x:v>76557669</x:v>
      </x:c>
      <x:c r="G58" s="40" t="n">
        <x:f>IF('迁盟总表'!S252="","",'迁盟总表'!S252)</x:f>
        <x:v>287026952</x:v>
      </x:c>
      <x:c r="H58" s="37" t="n">
        <x:f>IF('迁盟总表'!H252="","",'迁盟总表'!H252)</x:f>
        <x:v>25.3</x:v>
      </x:c>
      <x:c r="I58" s="37" t="n">
        <x:f>IF('迁盟总表'!I252="","",'迁盟总表'!I252)</x:f>
        <x:v>25.3</x:v>
      </x:c>
      <x:c r="J58" s="40" t="n">
        <x:f>IF('迁盟总表'!J252="","",'迁盟总表'!J252)</x:f>
        <x:v>685</x:v>
      </x:c>
      <x:c r="K58" s="40" t="n">
        <x:f>IF('迁盟总表'!K252="","",'迁盟总表'!K252)</x:f>
        <x:v>668</x:v>
      </x:c>
      <x:c r="L58" s="40" t="n">
        <x:f>IF('迁盟总表'!L252="","",'迁盟总表'!L252)</x:f>
        <x:v>580</x:v>
      </x:c>
      <x:c r="M58" s="40" t="n">
        <x:f>IF('迁盟总表'!M252="","",'迁盟总表'!M252)</x:f>
        <x:v>444</x:v>
      </x:c>
      <x:c r="N58" s="40" t="n">
        <x:f>IF('迁盟总表'!N252="","",'迁盟总表'!N252)</x:f>
        <x:v>608</x:v>
      </x:c>
      <x:c r="O58" s="40" t="n">
        <x:f>IF('迁盟总表'!O252="","",'迁盟总表'!O252)</x:f>
        <x:v>616</x:v>
      </x:c>
      <x:c r="P58" s="40" t="n">
        <x:f>IF('迁盟总表'!P252="","",'迁盟总表'!P252)</x:f>
        <x:v>3601</x:v>
      </x:c>
      <x:c r="Q58" s="43" t="n">
        <x:f>IF('迁盟总表'!X252="","",'迁盟总表'!X252)</x:f>
        <x:v>69</x:v>
      </x:c>
      <x:c r="R58" s="27" t="n">
        <x:f>IF('迁盟总表'!Y252="","",'迁盟总表'!Y252)</x:f>
        <x:v>220</x:v>
      </x:c>
      <x:c r="S58" s="55" t="str">
        <x:f>IF('迁盟总表'!Z252="","",'迁盟总表'!Z252)</x:f>
        <x:v>保持当前盟，减少迁移成本</x:v>
      </x:c>
    </x:row>
    <x:row r="59" ht="20" customHeight="1">
      <x:c r="A59" s="26" t="str">
        <x:f>IF('迁盟总表'!B253="","",'迁盟总表'!B253)</x:f>
        <x:v>好啊好啊</x:v>
      </x:c>
      <x:c r="B59" s="27" t="str">
        <x:f>IF('迁盟总表'!C253="","",'迁盟总表'!C253)</x:f>
        <x:v>玲珑</x:v>
      </x:c>
      <x:c r="C59" s="64" t="str">
        <x:f>IF('迁盟总表'!D253="","",'迁盟总表'!D253)</x:f>
        <x:v>玲珑</x:v>
      </x:c>
      <x:c r="D59" s="27" t="str">
        <x:f>IF('迁盟总表'!E253="","",'迁盟总表'!E253)</x:f>
        <x:v>留盟</x:v>
      </x:c>
      <x:c r="E59" s="40" t="n">
        <x:f>IF('迁盟总表'!Q253="","",'迁盟总表'!Q253)</x:f>
        <x:v>1094606282</x:v>
      </x:c>
      <x:c r="F59" s="40" t="n">
        <x:f>IF('迁盟总表'!R253="","",'迁盟总表'!R253)</x:f>
        <x:v>74510224</x:v>
      </x:c>
      <x:c r="G59" s="40" t="n">
        <x:f>IF('迁盟总表'!S253="","",'迁盟总表'!S253)</x:f>
        <x:v>243390857</x:v>
      </x:c>
      <x:c r="H59" s="37" t="str">
        <x:f>IF('迁盟总表'!H253="","",'迁盟总表'!H253)</x:f>
      </x:c>
      <x:c r="I59" s="37" t="str">
        <x:f>IF('迁盟总表'!I253="","",'迁盟总表'!I253)</x:f>
      </x:c>
      <x:c r="J59" s="40" t="str">
        <x:f>IF('迁盟总表'!J253="","",'迁盟总表'!J253)</x:f>
      </x:c>
      <x:c r="K59" s="40" t="str">
        <x:f>IF('迁盟总表'!K253="","",'迁盟总表'!K253)</x:f>
      </x:c>
      <x:c r="L59" s="40" t="str">
        <x:f>IF('迁盟总表'!L253="","",'迁盟总表'!L253)</x:f>
      </x:c>
      <x:c r="M59" s="40" t="str">
        <x:f>IF('迁盟总表'!M253="","",'迁盟总表'!M253)</x:f>
      </x:c>
      <x:c r="N59" s="40" t="str">
        <x:f>IF('迁盟总表'!N253="","",'迁盟总表'!N253)</x:f>
      </x:c>
      <x:c r="O59" s="40" t="str">
        <x:f>IF('迁盟总表'!O253="","",'迁盟总表'!O253)</x:f>
      </x:c>
      <x:c r="P59" s="40" t="str">
        <x:f>IF('迁盟总表'!P253="","",'迁盟总表'!P253)</x:f>
      </x:c>
      <x:c r="Q59" s="43" t="n">
        <x:f>IF('迁盟总表'!X253="","",'迁盟总表'!X253)</x:f>
        <x:v>68.9</x:v>
      </x:c>
      <x:c r="R59" s="27" t="n">
        <x:f>IF('迁盟总表'!Y253="","",'迁盟总表'!Y253)</x:f>
        <x:v>222</x:v>
      </x:c>
      <x:c r="S59" s="55" t="str">
        <x:f>IF('迁盟总表'!Z253="","",'迁盟总表'!Z253)</x:f>
        <x:v>保持当前盟，减少迁移成本</x:v>
      </x:c>
    </x:row>
    <x:row r="60" ht="20" customHeight="1">
      <x:c r="A60" s="26" t="str">
        <x:f>IF('迁盟总表'!B254="","",'迁盟总表'!B254)</x:f>
        <x:v>来掌柜</x:v>
      </x:c>
      <x:c r="B60" s="27" t="str">
        <x:f>IF('迁盟总表'!C254="","",'迁盟总表'!C254)</x:f>
        <x:v>玲珑</x:v>
      </x:c>
      <x:c r="C60" s="64" t="str">
        <x:f>IF('迁盟总表'!D254="","",'迁盟总表'!D254)</x:f>
        <x:v>玲珑</x:v>
      </x:c>
      <x:c r="D60" s="27" t="str">
        <x:f>IF('迁盟总表'!E254="","",'迁盟总表'!E254)</x:f>
        <x:v>留盟</x:v>
      </x:c>
      <x:c r="E60" s="40" t="n">
        <x:f>IF('迁盟总表'!Q254="","",'迁盟总表'!Q254)</x:f>
        <x:v>980508570</x:v>
      </x:c>
      <x:c r="F60" s="40" t="n">
        <x:f>IF('迁盟总表'!R254="","",'迁盟总表'!R254)</x:f>
        <x:v>75106412</x:v>
      </x:c>
      <x:c r="G60" s="40" t="n">
        <x:f>IF('迁盟总表'!S254="","",'迁盟总表'!S254)</x:f>
        <x:v>261850177</x:v>
      </x:c>
      <x:c r="H60" s="37" t="n">
        <x:f>IF('迁盟总表'!H254="","",'迁盟总表'!H254)</x:f>
        <x:v>27</x:v>
      </x:c>
      <x:c r="I60" s="37" t="n">
        <x:f>IF('迁盟总表'!I254="","",'迁盟总表'!I254)</x:f>
        <x:v>27</x:v>
      </x:c>
      <x:c r="J60" s="40" t="n">
        <x:f>IF('迁盟总表'!J254="","",'迁盟总表'!J254)</x:f>
        <x:v>653</x:v>
      </x:c>
      <x:c r="K60" s="40" t="n">
        <x:f>IF('迁盟总表'!K254="","",'迁盟总表'!K254)</x:f>
        <x:v>704</x:v>
      </x:c>
      <x:c r="L60" s="40" t="n">
        <x:f>IF('迁盟总表'!L254="","",'迁盟总表'!L254)</x:f>
        <x:v>552</x:v>
      </x:c>
      <x:c r="M60" s="40" t="n">
        <x:f>IF('迁盟总表'!M254="","",'迁盟总表'!M254)</x:f>
        <x:v>338</x:v>
      </x:c>
      <x:c r="N60" s="40" t="n">
        <x:f>IF('迁盟总表'!N254="","",'迁盟总表'!N254)</x:f>
        <x:v>648</x:v>
      </x:c>
      <x:c r="O60" s="40" t="n">
        <x:f>IF('迁盟总表'!O254="","",'迁盟总表'!O254)</x:f>
        <x:v>694</x:v>
      </x:c>
      <x:c r="P60" s="40" t="n">
        <x:f>IF('迁盟总表'!P254="","",'迁盟总表'!P254)</x:f>
        <x:v>3589</x:v>
      </x:c>
      <x:c r="Q60" s="43" t="n">
        <x:f>IF('迁盟总表'!X254="","",'迁盟总表'!X254)</x:f>
        <x:v>68.1</x:v>
      </x:c>
      <x:c r="R60" s="27" t="n">
        <x:f>IF('迁盟总表'!Y254="","",'迁盟总表'!Y254)</x:f>
        <x:v>233</x:v>
      </x:c>
      <x:c r="S60" s="55" t="str">
        <x:f>IF('迁盟总表'!Z254="","",'迁盟总表'!Z254)</x:f>
        <x:v>保持当前盟，减少迁移成本</x:v>
      </x:c>
    </x:row>
    <x:row r="61" ht="20" customHeight="1">
      <x:c r="A61" s="26" t="str">
        <x:f>IF('迁盟总表'!B255="","",'迁盟总表'!B255)</x:f>
        <x:v>醉开心</x:v>
      </x:c>
      <x:c r="B61" s="27" t="str">
        <x:f>IF('迁盟总表'!C255="","",'迁盟总表'!C255)</x:f>
        <x:v>兰亭</x:v>
      </x:c>
      <x:c r="C61" s="64" t="str">
        <x:f>IF('迁盟总表'!D255="","",'迁盟总表'!D255)</x:f>
        <x:v>玲珑</x:v>
      </x:c>
      <x:c r="D61" s="27" t="str">
        <x:f>IF('迁盟总表'!E255="","",'迁盟总表'!E255)</x:f>
        <x:v>兰亭→玲珑</x:v>
      </x:c>
      <x:c r="E61" s="40" t="n">
        <x:f>IF('迁盟总表'!Q255="","",'迁盟总表'!Q255)</x:f>
        <x:v>876731487</x:v>
      </x:c>
      <x:c r="F61" s="40" t="n">
        <x:f>IF('迁盟总表'!R255="","",'迁盟总表'!R255)</x:f>
        <x:v>74439366</x:v>
      </x:c>
      <x:c r="G61" s="40" t="n">
        <x:f>IF('迁盟总表'!S255="","",'迁盟总表'!S255)</x:f>
        <x:v>229020100</x:v>
      </x:c>
      <x:c r="H61" s="37" t="str">
        <x:f>IF('迁盟总表'!H255="","",'迁盟总表'!H255)</x:f>
      </x:c>
      <x:c r="I61" s="37" t="str">
        <x:f>IF('迁盟总表'!I255="","",'迁盟总表'!I255)</x:f>
      </x:c>
      <x:c r="J61" s="40" t="str">
        <x:f>IF('迁盟总表'!J255="","",'迁盟总表'!J255)</x:f>
      </x:c>
      <x:c r="K61" s="40" t="str">
        <x:f>IF('迁盟总表'!K255="","",'迁盟总表'!K255)</x:f>
      </x:c>
      <x:c r="L61" s="40" t="str">
        <x:f>IF('迁盟总表'!L255="","",'迁盟总表'!L255)</x:f>
      </x:c>
      <x:c r="M61" s="40" t="str">
        <x:f>IF('迁盟总表'!M255="","",'迁盟总表'!M255)</x:f>
      </x:c>
      <x:c r="N61" s="40" t="str">
        <x:f>IF('迁盟总表'!N255="","",'迁盟总表'!N255)</x:f>
      </x:c>
      <x:c r="O61" s="40" t="str">
        <x:f>IF('迁盟总表'!O255="","",'迁盟总表'!O255)</x:f>
      </x:c>
      <x:c r="P61" s="40" t="str">
        <x:f>IF('迁盟总表'!P255="","",'迁盟总表'!P255)</x:f>
      </x:c>
      <x:c r="Q61" s="43" t="n">
        <x:f>IF('迁盟总表'!X255="","",'迁盟总表'!X255)</x:f>
        <x:v>68</x:v>
      </x:c>
      <x:c r="R61" s="27" t="n">
        <x:f>IF('迁盟总表'!Y255="","",'迁盟总表'!Y255)</x:f>
        <x:v>235</x:v>
      </x:c>
      <x:c r="S61" s="55" t="str">
        <x:f>IF('迁盟总表'!Z255="","",'迁盟总表'!Z255)</x:f>
        <x:v>参考旧分配方案并结合容量调整</x:v>
      </x:c>
    </x:row>
    <x:row r="62" ht="20" customHeight="1">
      <x:c r="A62" s="26" t="str">
        <x:f>IF('迁盟总表'!B256="","",'迁盟总表'!B256)</x:f>
        <x:v>大哥的小弟</x:v>
      </x:c>
      <x:c r="B62" s="27" t="str">
        <x:f>IF('迁盟总表'!C256="","",'迁盟总表'!C256)</x:f>
        <x:v>兰亭</x:v>
      </x:c>
      <x:c r="C62" s="64" t="str">
        <x:f>IF('迁盟总表'!D256="","",'迁盟总表'!D256)</x:f>
        <x:v>玲珑</x:v>
      </x:c>
      <x:c r="D62" s="27" t="str">
        <x:f>IF('迁盟总表'!E256="","",'迁盟总表'!E256)</x:f>
        <x:v>兰亭→玲珑</x:v>
      </x:c>
      <x:c r="E62" s="40" t="n">
        <x:f>IF('迁盟总表'!Q256="","",'迁盟总表'!Q256)</x:f>
        <x:v>1794717001</x:v>
      </x:c>
      <x:c r="F62" s="40" t="n">
        <x:f>IF('迁盟总表'!R256="","",'迁盟总表'!R256)</x:f>
        <x:v>67406190</x:v>
      </x:c>
      <x:c r="G62" s="40" t="n">
        <x:f>IF('迁盟总表'!S256="","",'迁盟总表'!S256)</x:f>
        <x:v>239762168</x:v>
      </x:c>
      <x:c r="H62" s="37" t="str">
        <x:f>IF('迁盟总表'!H256="","",'迁盟总表'!H256)</x:f>
      </x:c>
      <x:c r="I62" s="37" t="str">
        <x:f>IF('迁盟总表'!I256="","",'迁盟总表'!I256)</x:f>
      </x:c>
      <x:c r="J62" s="40" t="str">
        <x:f>IF('迁盟总表'!J256="","",'迁盟总表'!J256)</x:f>
      </x:c>
      <x:c r="K62" s="40" t="str">
        <x:f>IF('迁盟总表'!K256="","",'迁盟总表'!K256)</x:f>
      </x:c>
      <x:c r="L62" s="40" t="str">
        <x:f>IF('迁盟总表'!L256="","",'迁盟总表'!L256)</x:f>
      </x:c>
      <x:c r="M62" s="40" t="str">
        <x:f>IF('迁盟总表'!M256="","",'迁盟总表'!M256)</x:f>
      </x:c>
      <x:c r="N62" s="40" t="str">
        <x:f>IF('迁盟总表'!N256="","",'迁盟总表'!N256)</x:f>
      </x:c>
      <x:c r="O62" s="40" t="str">
        <x:f>IF('迁盟总表'!O256="","",'迁盟总表'!O256)</x:f>
      </x:c>
      <x:c r="P62" s="40" t="str">
        <x:f>IF('迁盟总表'!P256="","",'迁盟总表'!P256)</x:f>
      </x:c>
      <x:c r="Q62" s="43" t="n">
        <x:f>IF('迁盟总表'!X256="","",'迁盟总表'!X256)</x:f>
        <x:v>67.7</x:v>
      </x:c>
      <x:c r="R62" s="27" t="n">
        <x:f>IF('迁盟总表'!Y256="","",'迁盟总表'!Y256)</x:f>
        <x:v>239</x:v>
      </x:c>
      <x:c r="S62" s="55" t="str">
        <x:f>IF('迁盟总表'!Z256="","",'迁盟总表'!Z256)</x:f>
        <x:v>参考旧分配方案并结合容量调整</x:v>
      </x:c>
    </x:row>
    <x:row r="63" ht="20" customHeight="1">
      <x:c r="A63" s="26" t="str">
        <x:f>IF('迁盟总表'!B257="","",'迁盟总表'!B257)</x:f>
        <x:v>王者农药</x:v>
      </x:c>
      <x:c r="B63" s="27" t="str">
        <x:f>IF('迁盟总表'!C257="","",'迁盟总表'!C257)</x:f>
        <x:v>兰亭</x:v>
      </x:c>
      <x:c r="C63" s="64" t="str">
        <x:f>IF('迁盟总表'!D257="","",'迁盟总表'!D257)</x:f>
        <x:v>玲珑</x:v>
      </x:c>
      <x:c r="D63" s="27" t="str">
        <x:f>IF('迁盟总表'!E257="","",'迁盟总表'!E257)</x:f>
        <x:v>兰亭→玲珑</x:v>
      </x:c>
      <x:c r="E63" s="40" t="n">
        <x:f>IF('迁盟总表'!Q257="","",'迁盟总表'!Q257)</x:f>
        <x:v>1245453583</x:v>
      </x:c>
      <x:c r="F63" s="40" t="n">
        <x:f>IF('迁盟总表'!R257="","",'迁盟总表'!R257)</x:f>
        <x:v>72933017</x:v>
      </x:c>
      <x:c r="G63" s="40" t="n">
        <x:f>IF('迁盟总表'!S257="","",'迁盟总表'!S257)</x:f>
        <x:v>208354872</x:v>
      </x:c>
      <x:c r="H63" s="37" t="n">
        <x:f>IF('迁盟总表'!H257="","",'迁盟总表'!H257)</x:f>
        <x:v>22.8</x:v>
      </x:c>
      <x:c r="I63" s="37" t="n">
        <x:f>IF('迁盟总表'!I257="","",'迁盟总表'!I257)</x:f>
        <x:v>22.8</x:v>
      </x:c>
      <x:c r="J63" s="40" t="str">
        <x:f>IF('迁盟总表'!J257="","",'迁盟总表'!J257)</x:f>
      </x:c>
      <x:c r="K63" s="40" t="str">
        <x:f>IF('迁盟总表'!K257="","",'迁盟总表'!K257)</x:f>
      </x:c>
      <x:c r="L63" s="40" t="str">
        <x:f>IF('迁盟总表'!L257="","",'迁盟总表'!L257)</x:f>
      </x:c>
      <x:c r="M63" s="40" t="str">
        <x:f>IF('迁盟总表'!M257="","",'迁盟总表'!M257)</x:f>
      </x:c>
      <x:c r="N63" s="40" t="str">
        <x:f>IF('迁盟总表'!N257="","",'迁盟总表'!N257)</x:f>
      </x:c>
      <x:c r="O63" s="40" t="str">
        <x:f>IF('迁盟总表'!O257="","",'迁盟总表'!O257)</x:f>
      </x:c>
      <x:c r="P63" s="40" t="str">
        <x:f>IF('迁盟总表'!P257="","",'迁盟总表'!P257)</x:f>
      </x:c>
      <x:c r="Q63" s="43" t="n">
        <x:f>IF('迁盟总表'!X257="","",'迁盟总表'!X257)</x:f>
        <x:v>67.5</x:v>
      </x:c>
      <x:c r="R63" s="27" t="n">
        <x:f>IF('迁盟总表'!Y257="","",'迁盟总表'!Y257)</x:f>
        <x:v>241</x:v>
      </x:c>
      <x:c r="S63" s="55" t="str">
        <x:f>IF('迁盟总表'!Z257="","",'迁盟总表'!Z257)</x:f>
        <x:v>为一盟战斗重组和盟容量平衡进行对调</x:v>
      </x:c>
    </x:row>
    <x:row r="64" ht="20" customHeight="1">
      <x:c r="A64" s="26" t="str">
        <x:f>IF('迁盟总表'!B258="","",'迁盟总表'!B258)</x:f>
        <x:v>周公瑾</x:v>
      </x:c>
      <x:c r="B64" s="27" t="str">
        <x:f>IF('迁盟总表'!C258="","",'迁盟总表'!C258)</x:f>
        <x:v>玲珑</x:v>
      </x:c>
      <x:c r="C64" s="64" t="str">
        <x:f>IF('迁盟总表'!D258="","",'迁盟总表'!D258)</x:f>
        <x:v>玲珑</x:v>
      </x:c>
      <x:c r="D64" s="27" t="str">
        <x:f>IF('迁盟总表'!E258="","",'迁盟总表'!E258)</x:f>
        <x:v>留盟</x:v>
      </x:c>
      <x:c r="E64" s="40" t="n">
        <x:f>IF('迁盟总表'!Q258="","",'迁盟总表'!Q258)</x:f>
        <x:v>1792365586</x:v>
      </x:c>
      <x:c r="F64" s="40" t="n">
        <x:f>IF('迁盟总表'!R258="","",'迁盟总表'!R258)</x:f>
        <x:v>79164419</x:v>
      </x:c>
      <x:c r="G64" s="40" t="n">
        <x:f>IF('迁盟总表'!S258="","",'迁盟总表'!S258)</x:f>
        <x:v>99305043</x:v>
      </x:c>
      <x:c r="H64" s="37" t="str">
        <x:f>IF('迁盟总表'!H258="","",'迁盟总表'!H258)</x:f>
      </x:c>
      <x:c r="I64" s="37" t="str">
        <x:f>IF('迁盟总表'!I258="","",'迁盟总表'!I258)</x:f>
      </x:c>
      <x:c r="J64" s="40" t="str">
        <x:f>IF('迁盟总表'!J258="","",'迁盟总表'!J258)</x:f>
      </x:c>
      <x:c r="K64" s="40" t="str">
        <x:f>IF('迁盟总表'!K258="","",'迁盟总表'!K258)</x:f>
      </x:c>
      <x:c r="L64" s="40" t="str">
        <x:f>IF('迁盟总表'!L258="","",'迁盟总表'!L258)</x:f>
      </x:c>
      <x:c r="M64" s="40" t="str">
        <x:f>IF('迁盟总表'!M258="","",'迁盟总表'!M258)</x:f>
      </x:c>
      <x:c r="N64" s="40" t="str">
        <x:f>IF('迁盟总表'!N258="","",'迁盟总表'!N258)</x:f>
      </x:c>
      <x:c r="O64" s="40" t="str">
        <x:f>IF('迁盟总表'!O258="","",'迁盟总表'!O258)</x:f>
      </x:c>
      <x:c r="P64" s="40" t="str">
        <x:f>IF('迁盟总表'!P258="","",'迁盟总表'!P258)</x:f>
      </x:c>
      <x:c r="Q64" s="43" t="n">
        <x:f>IF('迁盟总表'!X258="","",'迁盟总表'!X258)</x:f>
        <x:v>66.5</x:v>
      </x:c>
      <x:c r="R64" s="27" t="n">
        <x:f>IF('迁盟总表'!Y258="","",'迁盟总表'!Y258)</x:f>
        <x:v>247</x:v>
      </x:c>
      <x:c r="S64" s="55" t="str">
        <x:f>IF('迁盟总表'!Z258="","",'迁盟总表'!Z258)</x:f>
        <x:v>保持当前盟，减少迁移成本</x:v>
      </x:c>
    </x:row>
    <x:row r="65" ht="20" customHeight="1">
      <x:c r="A65" s="26" t="str">
        <x:f>IF('迁盟总表'!B259="","",'迁盟总表'!B259)</x:f>
        <x:v>雨露漫漫</x:v>
      </x:c>
      <x:c r="B65" s="27" t="str">
        <x:f>IF('迁盟总表'!C259="","",'迁盟总表'!C259)</x:f>
        <x:v>玲珑</x:v>
      </x:c>
      <x:c r="C65" s="64" t="str">
        <x:f>IF('迁盟总表'!D259="","",'迁盟总表'!D259)</x:f>
        <x:v>玲珑</x:v>
      </x:c>
      <x:c r="D65" s="27" t="str">
        <x:f>IF('迁盟总表'!E259="","",'迁盟总表'!E259)</x:f>
        <x:v>留盟</x:v>
      </x:c>
      <x:c r="E65" s="40" t="n">
        <x:f>IF('迁盟总表'!Q259="","",'迁盟总表'!Q259)</x:f>
        <x:v>198965152</x:v>
      </x:c>
      <x:c r="F65" s="40" t="n">
        <x:f>IF('迁盟总表'!R259="","",'迁盟总表'!R259)</x:f>
        <x:v>81666167</x:v>
      </x:c>
      <x:c r="G65" s="40" t="n">
        <x:f>IF('迁盟总表'!S259="","",'迁盟总表'!S259)</x:f>
        <x:v>211445593</x:v>
      </x:c>
      <x:c r="H65" s="37" t="n">
        <x:f>IF('迁盟总表'!H259="","",'迁盟总表'!H259)</x:f>
        <x:v>28.8</x:v>
      </x:c>
      <x:c r="I65" s="37" t="n">
        <x:f>IF('迁盟总表'!I259="","",'迁盟总表'!I259)</x:f>
        <x:v>28.8</x:v>
      </x:c>
      <x:c r="J65" s="40" t="n">
        <x:f>IF('迁盟总表'!J259="","",'迁盟总表'!J259)</x:f>
        <x:v>728</x:v>
      </x:c>
      <x:c r="K65" s="40" t="n">
        <x:f>IF('迁盟总表'!K259="","",'迁盟总表'!K259)</x:f>
        <x:v>930</x:v>
      </x:c>
      <x:c r="L65" s="40" t="n">
        <x:f>IF('迁盟总表'!L259="","",'迁盟总表'!L259)</x:f>
        <x:v>603</x:v>
      </x:c>
      <x:c r="M65" s="40" t="n">
        <x:f>IF('迁盟总表'!M259="","",'迁盟总表'!M259)</x:f>
        <x:v>437</x:v>
      </x:c>
      <x:c r="N65" s="40" t="n">
        <x:f>IF('迁盟总表'!N259="","",'迁盟总表'!N259)</x:f>
        <x:v>658</x:v>
      </x:c>
      <x:c r="O65" s="40" t="n">
        <x:f>IF('迁盟总表'!O259="","",'迁盟总表'!O259)</x:f>
        <x:v>786</x:v>
      </x:c>
      <x:c r="P65" s="40" t="n">
        <x:f>IF('迁盟总表'!P259="","",'迁盟总表'!P259)</x:f>
        <x:v>4142</x:v>
      </x:c>
      <x:c r="Q65" s="43" t="n">
        <x:f>IF('迁盟总表'!X259="","",'迁盟总表'!X259)</x:f>
        <x:v>66.5</x:v>
      </x:c>
      <x:c r="R65" s="27" t="n">
        <x:f>IF('迁盟总表'!Y259="","",'迁盟总表'!Y259)</x:f>
        <x:v>247</x:v>
      </x:c>
      <x:c r="S65" s="55" t="str">
        <x:f>IF('迁盟总表'!Z259="","",'迁盟总表'!Z259)</x:f>
        <x:v>保持当前盟，减少迁移成本</x:v>
      </x:c>
    </x:row>
    <x:row r="66" ht="20" customHeight="1">
      <x:c r="A66" s="26" t="str">
        <x:f>IF('迁盟总表'!B260="","",'迁盟总表'!B260)</x:f>
        <x:v>轻风飘雨</x:v>
      </x:c>
      <x:c r="B66" s="27" t="str">
        <x:f>IF('迁盟总表'!C260="","",'迁盟总表'!C260)</x:f>
        <x:v>兰亭</x:v>
      </x:c>
      <x:c r="C66" s="64" t="str">
        <x:f>IF('迁盟总表'!D260="","",'迁盟总表'!D260)</x:f>
        <x:v>玲珑</x:v>
      </x:c>
      <x:c r="D66" s="27" t="str">
        <x:f>IF('迁盟总表'!E260="","",'迁盟总表'!E260)</x:f>
        <x:v>兰亭→玲珑</x:v>
      </x:c>
      <x:c r="E66" s="40" t="n">
        <x:f>IF('迁盟总表'!Q260="","",'迁盟总表'!Q260)</x:f>
        <x:v>168036800</x:v>
      </x:c>
      <x:c r="F66" s="40" t="n">
        <x:f>IF('迁盟总表'!R260="","",'迁盟总表'!R260)</x:f>
        <x:v>76674530</x:v>
      </x:c>
      <x:c r="G66" s="40" t="n">
        <x:f>IF('迁盟总表'!S260="","",'迁盟总表'!S260)</x:f>
        <x:v>244476463</x:v>
      </x:c>
      <x:c r="H66" s="37" t="str">
        <x:f>IF('迁盟总表'!H260="","",'迁盟总表'!H260)</x:f>
      </x:c>
      <x:c r="I66" s="37" t="str">
        <x:f>IF('迁盟总表'!I260="","",'迁盟总表'!I260)</x:f>
      </x:c>
      <x:c r="J66" s="40" t="str">
        <x:f>IF('迁盟总表'!J260="","",'迁盟总表'!J260)</x:f>
      </x:c>
      <x:c r="K66" s="40" t="str">
        <x:f>IF('迁盟总表'!K260="","",'迁盟总表'!K260)</x:f>
      </x:c>
      <x:c r="L66" s="40" t="str">
        <x:f>IF('迁盟总表'!L260="","",'迁盟总表'!L260)</x:f>
      </x:c>
      <x:c r="M66" s="40" t="str">
        <x:f>IF('迁盟总表'!M260="","",'迁盟总表'!M260)</x:f>
      </x:c>
      <x:c r="N66" s="40" t="str">
        <x:f>IF('迁盟总表'!N260="","",'迁盟总表'!N260)</x:f>
      </x:c>
      <x:c r="O66" s="40" t="str">
        <x:f>IF('迁盟总表'!O260="","",'迁盟总表'!O260)</x:f>
      </x:c>
      <x:c r="P66" s="40" t="str">
        <x:f>IF('迁盟总表'!P260="","",'迁盟总表'!P260)</x:f>
      </x:c>
      <x:c r="Q66" s="43" t="n">
        <x:f>IF('迁盟总表'!X260="","",'迁盟总表'!X260)</x:f>
        <x:v>66</x:v>
      </x:c>
      <x:c r="R66" s="27" t="n">
        <x:f>IF('迁盟总表'!Y260="","",'迁盟总表'!Y260)</x:f>
        <x:v>251</x:v>
      </x:c>
      <x:c r="S66" s="55" t="str">
        <x:f>IF('迁盟总表'!Z260="","",'迁盟总表'!Z260)</x:f>
        <x:v>为一盟战斗重组和盟容量平衡进行对调</x:v>
      </x:c>
    </x:row>
    <x:row r="67" ht="20" customHeight="1">
      <x:c r="A67" s="26" t="str">
        <x:f>IF('迁盟总表'!B261="","",'迁盟总表'!B261)</x:f>
        <x:v>知我意</x:v>
      </x:c>
      <x:c r="B67" s="27" t="str">
        <x:f>IF('迁盟总表'!C261="","",'迁盟总表'!C261)</x:f>
        <x:v>玲珑</x:v>
      </x:c>
      <x:c r="C67" s="64" t="str">
        <x:f>IF('迁盟总表'!D261="","",'迁盟总表'!D261)</x:f>
        <x:v>玲珑</x:v>
      </x:c>
      <x:c r="D67" s="27" t="str">
        <x:f>IF('迁盟总表'!E261="","",'迁盟总表'!E261)</x:f>
        <x:v>留盟</x:v>
      </x:c>
      <x:c r="E67" s="40" t="n">
        <x:f>IF('迁盟总表'!Q261="","",'迁盟总表'!Q261)</x:f>
        <x:v>820130170</x:v>
      </x:c>
      <x:c r="F67" s="40" t="n">
        <x:f>IF('迁盟总表'!R261="","",'迁盟总表'!R261)</x:f>
        <x:v>72364856</x:v>
      </x:c>
      <x:c r="G67" s="40" t="n">
        <x:f>IF('迁盟总表'!S261="","",'迁盟总表'!S261)</x:f>
        <x:v>228755937</x:v>
      </x:c>
      <x:c r="H67" s="37" t="n">
        <x:f>IF('迁盟总表'!H261="","",'迁盟总表'!H261)</x:f>
        <x:v>22</x:v>
      </x:c>
      <x:c r="I67" s="37" t="n">
        <x:f>IF('迁盟总表'!I261="","",'迁盟总表'!I261)</x:f>
        <x:v>19</x:v>
      </x:c>
      <x:c r="J67" s="40" t="n">
        <x:f>IF('迁盟总表'!J261="","",'迁盟总表'!J261)</x:f>
        <x:v>599</x:v>
      </x:c>
      <x:c r="K67" s="40" t="n">
        <x:f>IF('迁盟总表'!K261="","",'迁盟总表'!K261)</x:f>
        <x:v>518</x:v>
      </x:c>
      <x:c r="L67" s="40" t="n">
        <x:f>IF('迁盟总表'!L261="","",'迁盟总表'!L261)</x:f>
        <x:v>574</x:v>
      </x:c>
      <x:c r="M67" s="40" t="n">
        <x:f>IF('迁盟总表'!M261="","",'迁盟总表'!M261)</x:f>
        <x:v>556</x:v>
      </x:c>
      <x:c r="N67" s="40" t="n">
        <x:f>IF('迁盟总表'!N261="","",'迁盟总表'!N261)</x:f>
        <x:v>574</x:v>
      </x:c>
      <x:c r="O67" s="40" t="n">
        <x:f>IF('迁盟总表'!O261="","",'迁盟总表'!O261)</x:f>
        <x:v>450</x:v>
      </x:c>
      <x:c r="P67" s="40" t="n">
        <x:f>IF('迁盟总表'!P261="","",'迁盟总表'!P261)</x:f>
        <x:v>3271</x:v>
      </x:c>
      <x:c r="Q67" s="43" t="n">
        <x:f>IF('迁盟总表'!X261="","",'迁盟总表'!X261)</x:f>
        <x:v>65.6</x:v>
      </x:c>
      <x:c r="R67" s="27" t="n">
        <x:f>IF('迁盟总表'!Y261="","",'迁盟总表'!Y261)</x:f>
        <x:v>253</x:v>
      </x:c>
      <x:c r="S67" s="55" t="str">
        <x:f>IF('迁盟总表'!Z261="","",'迁盟总表'!Z261)</x:f>
        <x:v>保持当前盟，减少迁移成本</x:v>
      </x:c>
    </x:row>
    <x:row r="68" ht="20" customHeight="1">
      <x:c r="A68" s="26" t="str">
        <x:f>IF('迁盟总表'!B262="","",'迁盟总表'!B262)</x:f>
        <x:v>统一全球</x:v>
      </x:c>
      <x:c r="B68" s="27" t="str">
        <x:f>IF('迁盟总表'!C262="","",'迁盟总表'!C262)</x:f>
        <x:v>兰亭</x:v>
      </x:c>
      <x:c r="C68" s="64" t="str">
        <x:f>IF('迁盟总表'!D262="","",'迁盟总表'!D262)</x:f>
        <x:v>玲珑</x:v>
      </x:c>
      <x:c r="D68" s="27" t="str">
        <x:f>IF('迁盟总表'!E262="","",'迁盟总表'!E262)</x:f>
        <x:v>兰亭→玲珑</x:v>
      </x:c>
      <x:c r="E68" s="40" t="n">
        <x:f>IF('迁盟总表'!Q262="","",'迁盟总表'!Q262)</x:f>
        <x:v>2863183380</x:v>
      </x:c>
      <x:c r="F68" s="40" t="n">
        <x:f>IF('迁盟总表'!R262="","",'迁盟总表'!R262)</x:f>
        <x:v>64374580</x:v>
      </x:c>
      <x:c r="G68" s="40" t="n">
        <x:f>IF('迁盟总表'!S262="","",'迁盟总表'!S262)</x:f>
        <x:v>175081773</x:v>
      </x:c>
      <x:c r="H68" s="37" t="str">
        <x:f>IF('迁盟总表'!H262="","",'迁盟总表'!H262)</x:f>
      </x:c>
      <x:c r="I68" s="37" t="str">
        <x:f>IF('迁盟总表'!I262="","",'迁盟总表'!I262)</x:f>
      </x:c>
      <x:c r="J68" s="40" t="str">
        <x:f>IF('迁盟总表'!J262="","",'迁盟总表'!J262)</x:f>
      </x:c>
      <x:c r="K68" s="40" t="str">
        <x:f>IF('迁盟总表'!K262="","",'迁盟总表'!K262)</x:f>
      </x:c>
      <x:c r="L68" s="40" t="str">
        <x:f>IF('迁盟总表'!L262="","",'迁盟总表'!L262)</x:f>
      </x:c>
      <x:c r="M68" s="40" t="str">
        <x:f>IF('迁盟总表'!M262="","",'迁盟总表'!M262)</x:f>
      </x:c>
      <x:c r="N68" s="40" t="str">
        <x:f>IF('迁盟总表'!N262="","",'迁盟总表'!N262)</x:f>
      </x:c>
      <x:c r="O68" s="40" t="str">
        <x:f>IF('迁盟总表'!O262="","",'迁盟总表'!O262)</x:f>
      </x:c>
      <x:c r="P68" s="40" t="str">
        <x:f>IF('迁盟总表'!P262="","",'迁盟总表'!P262)</x:f>
      </x:c>
      <x:c r="Q68" s="43" t="n">
        <x:f>IF('迁盟总表'!X262="","",'迁盟总表'!X262)</x:f>
        <x:v>65.6</x:v>
      </x:c>
      <x:c r="R68" s="27" t="n">
        <x:f>IF('迁盟总表'!Y262="","",'迁盟总表'!Y262)</x:f>
        <x:v>253</x:v>
      </x:c>
      <x:c r="S68" s="55" t="str">
        <x:f>IF('迁盟总表'!Z262="","",'迁盟总表'!Z262)</x:f>
        <x:v>为一盟战斗重组和盟容量平衡进行对调</x:v>
      </x:c>
    </x:row>
    <x:row r="69" ht="20" customHeight="1">
      <x:c r="A69" s="26" t="str">
        <x:f>IF('迁盟总表'!B263="","",'迁盟总表'!B263)</x:f>
        <x:v>小马同学</x:v>
      </x:c>
      <x:c r="B69" s="27" t="str">
        <x:f>IF('迁盟总表'!C263="","",'迁盟总表'!C263)</x:f>
        <x:v>兰亭</x:v>
      </x:c>
      <x:c r="C69" s="64" t="str">
        <x:f>IF('迁盟总表'!D263="","",'迁盟总表'!D263)</x:f>
        <x:v>玲珑</x:v>
      </x:c>
      <x:c r="D69" s="27" t="str">
        <x:f>IF('迁盟总表'!E263="","",'迁盟总表'!E263)</x:f>
        <x:v>兰亭→玲珑</x:v>
      </x:c>
      <x:c r="E69" s="40" t="n">
        <x:f>IF('迁盟总表'!Q263="","",'迁盟总表'!Q263)</x:f>
        <x:v>384168088</x:v>
      </x:c>
      <x:c r="F69" s="40" t="n">
        <x:f>IF('迁盟总表'!R263="","",'迁盟总表'!R263)</x:f>
        <x:v>74232041</x:v>
      </x:c>
      <x:c r="G69" s="40" t="n">
        <x:f>IF('迁盟总表'!S263="","",'迁盟总表'!S263)</x:f>
        <x:v>214637154</x:v>
      </x:c>
      <x:c r="H69" s="37" t="n">
        <x:f>IF('迁盟总表'!H263="","",'迁盟总表'!H263)</x:f>
        <x:v>26.4</x:v>
      </x:c>
      <x:c r="I69" s="37" t="n">
        <x:f>IF('迁盟总表'!I263="","",'迁盟总表'!I263)</x:f>
        <x:v>26.4</x:v>
      </x:c>
      <x:c r="J69" s="40" t="n">
        <x:f>IF('迁盟总表'!J263="","",'迁盟总表'!J263)</x:f>
        <x:v>678</x:v>
      </x:c>
      <x:c r="K69" s="40" t="n">
        <x:f>IF('迁盟总表'!K263="","",'迁盟总表'!K263)</x:f>
        <x:v>633</x:v>
      </x:c>
      <x:c r="L69" s="40" t="n">
        <x:f>IF('迁盟总表'!L263="","",'迁盟总表'!L263)</x:f>
        <x:v>697</x:v>
      </x:c>
      <x:c r="M69" s="40" t="n">
        <x:f>IF('迁盟总表'!M263="","",'迁盟总表'!M263)</x:f>
        <x:v>594</x:v>
      </x:c>
      <x:c r="N69" s="40" t="n">
        <x:f>IF('迁盟总表'!N263="","",'迁盟总表'!N263)</x:f>
        <x:v>678</x:v>
      </x:c>
      <x:c r="O69" s="40" t="n">
        <x:f>IF('迁盟总表'!O263="","",'迁盟总表'!O263)</x:f>
        <x:v>597</x:v>
      </x:c>
      <x:c r="P69" s="40" t="n">
        <x:f>IF('迁盟总表'!P263="","",'迁盟总表'!P263)</x:f>
        <x:v>3877</x:v>
      </x:c>
      <x:c r="Q69" s="43" t="n">
        <x:f>IF('迁盟总表'!X263="","",'迁盟总表'!X263)</x:f>
        <x:v>65.3</x:v>
      </x:c>
      <x:c r="R69" s="27" t="n">
        <x:f>IF('迁盟总表'!Y263="","",'迁盟总表'!Y263)</x:f>
        <x:v>255</x:v>
      </x:c>
      <x:c r="S69" s="55" t="str">
        <x:f>IF('迁盟总表'!Z263="","",'迁盟总表'!Z263)</x:f>
        <x:v>参考旧分配方案并结合容量调整</x:v>
      </x:c>
    </x:row>
    <x:row r="70" ht="20" customHeight="1">
      <x:c r="A70" s="26" t="str">
        <x:f>IF('迁盟总表'!B264="","",'迁盟总表'!B264)</x:f>
        <x:v>过关斩将</x:v>
      </x:c>
      <x:c r="B70" s="27" t="str">
        <x:f>IF('迁盟总表'!C264="","",'迁盟总表'!C264)</x:f>
        <x:v>兰亭</x:v>
      </x:c>
      <x:c r="C70" s="64" t="str">
        <x:f>IF('迁盟总表'!D264="","",'迁盟总表'!D264)</x:f>
        <x:v>玲珑</x:v>
      </x:c>
      <x:c r="D70" s="27" t="str">
        <x:f>IF('迁盟总表'!E264="","",'迁盟总表'!E264)</x:f>
        <x:v>兰亭→玲珑</x:v>
      </x:c>
      <x:c r="E70" s="40" t="n">
        <x:f>IF('迁盟总表'!Q264="","",'迁盟总表'!Q264)</x:f>
        <x:v>2242689367</x:v>
      </x:c>
      <x:c r="F70" s="40" t="n">
        <x:f>IF('迁盟总表'!R264="","",'迁盟总表'!R264)</x:f>
        <x:v>61656774</x:v>
      </x:c>
      <x:c r="G70" s="40" t="n">
        <x:f>IF('迁盟总表'!S264="","",'迁盟总表'!S264)</x:f>
        <x:v>197954914</x:v>
      </x:c>
      <x:c r="H70" s="37" t="str">
        <x:f>IF('迁盟总表'!H264="","",'迁盟总表'!H264)</x:f>
      </x:c>
      <x:c r="I70" s="37" t="str">
        <x:f>IF('迁盟总表'!I264="","",'迁盟总表'!I264)</x:f>
      </x:c>
      <x:c r="J70" s="40" t="str">
        <x:f>IF('迁盟总表'!J264="","",'迁盟总表'!J264)</x:f>
      </x:c>
      <x:c r="K70" s="40" t="str">
        <x:f>IF('迁盟总表'!K264="","",'迁盟总表'!K264)</x:f>
      </x:c>
      <x:c r="L70" s="40" t="str">
        <x:f>IF('迁盟总表'!L264="","",'迁盟总表'!L264)</x:f>
      </x:c>
      <x:c r="M70" s="40" t="str">
        <x:f>IF('迁盟总表'!M264="","",'迁盟总表'!M264)</x:f>
      </x:c>
      <x:c r="N70" s="40" t="str">
        <x:f>IF('迁盟总表'!N264="","",'迁盟总表'!N264)</x:f>
      </x:c>
      <x:c r="O70" s="40" t="str">
        <x:f>IF('迁盟总表'!O264="","",'迁盟总表'!O264)</x:f>
      </x:c>
      <x:c r="P70" s="40" t="str">
        <x:f>IF('迁盟总表'!P264="","",'迁盟总表'!P264)</x:f>
      </x:c>
      <x:c r="Q70" s="43" t="n">
        <x:f>IF('迁盟总表'!X264="","",'迁盟总表'!X264)</x:f>
        <x:v>65.1</x:v>
      </x:c>
      <x:c r="R70" s="27" t="n">
        <x:f>IF('迁盟总表'!Y264="","",'迁盟总表'!Y264)</x:f>
        <x:v>256</x:v>
      </x:c>
      <x:c r="S70" s="55" t="str">
        <x:f>IF('迁盟总表'!Z264="","",'迁盟总表'!Z264)</x:f>
        <x:v>为一盟战斗重组和盟容量平衡进行对调</x:v>
      </x:c>
    </x:row>
    <x:row r="71" ht="20" customHeight="1">
      <x:c r="A71" s="26" t="str">
        <x:f>IF('迁盟总表'!B265="","",'迁盟总表'!B265)</x:f>
        <x:v>莽二哥</x:v>
      </x:c>
      <x:c r="B71" s="27" t="str">
        <x:f>IF('迁盟总表'!C265="","",'迁盟总表'!C265)</x:f>
        <x:v>兰亭</x:v>
      </x:c>
      <x:c r="C71" s="64" t="str">
        <x:f>IF('迁盟总表'!D265="","",'迁盟总表'!D265)</x:f>
        <x:v>玲珑</x:v>
      </x:c>
      <x:c r="D71" s="27" t="str">
        <x:f>IF('迁盟总表'!E265="","",'迁盟总表'!E265)</x:f>
        <x:v>兰亭→玲珑</x:v>
      </x:c>
      <x:c r="E71" s="40" t="n">
        <x:f>IF('迁盟总表'!Q265="","",'迁盟总表'!Q265)</x:f>
        <x:v>1631706264</x:v>
      </x:c>
      <x:c r="F71" s="40" t="n">
        <x:f>IF('迁盟总表'!R265="","",'迁盟总表'!R265)</x:f>
        <x:v>64228382</x:v>
      </x:c>
      <x:c r="G71" s="40" t="n">
        <x:f>IF('迁盟总表'!S265="","",'迁盟总表'!S265)</x:f>
        <x:v>193800087</x:v>
      </x:c>
      <x:c r="H71" s="37" t="str">
        <x:f>IF('迁盟总表'!H265="","",'迁盟总表'!H265)</x:f>
      </x:c>
      <x:c r="I71" s="37" t="str">
        <x:f>IF('迁盟总表'!I265="","",'迁盟总表'!I265)</x:f>
      </x:c>
      <x:c r="J71" s="40" t="str">
        <x:f>IF('迁盟总表'!J265="","",'迁盟总表'!J265)</x:f>
      </x:c>
      <x:c r="K71" s="40" t="str">
        <x:f>IF('迁盟总表'!K265="","",'迁盟总表'!K265)</x:f>
      </x:c>
      <x:c r="L71" s="40" t="str">
        <x:f>IF('迁盟总表'!L265="","",'迁盟总表'!L265)</x:f>
      </x:c>
      <x:c r="M71" s="40" t="str">
        <x:f>IF('迁盟总表'!M265="","",'迁盟总表'!M265)</x:f>
      </x:c>
      <x:c r="N71" s="40" t="str">
        <x:f>IF('迁盟总表'!N265="","",'迁盟总表'!N265)</x:f>
      </x:c>
      <x:c r="O71" s="40" t="str">
        <x:f>IF('迁盟总表'!O265="","",'迁盟总表'!O265)</x:f>
      </x:c>
      <x:c r="P71" s="40" t="str">
        <x:f>IF('迁盟总表'!P265="","",'迁盟总表'!P265)</x:f>
      </x:c>
      <x:c r="Q71" s="43" t="n">
        <x:f>IF('迁盟总表'!X265="","",'迁盟总表'!X265)</x:f>
        <x:v>65.1</x:v>
      </x:c>
      <x:c r="R71" s="27" t="n">
        <x:f>IF('迁盟总表'!Y265="","",'迁盟总表'!Y265)</x:f>
        <x:v>256</x:v>
      </x:c>
      <x:c r="S71" s="55" t="str">
        <x:f>IF('迁盟总表'!Z265="","",'迁盟总表'!Z265)</x:f>
        <x:v>为一盟战斗重组和盟容量平衡进行对调</x:v>
      </x:c>
    </x:row>
    <x:row r="72" ht="20" customHeight="1">
      <x:c r="A72" s="26" t="str">
        <x:f>IF('迁盟总表'!B266="","",'迁盟总表'!B266)</x:f>
        <x:v>笑笑大王</x:v>
      </x:c>
      <x:c r="B72" s="27" t="str">
        <x:f>IF('迁盟总表'!C266="","",'迁盟总表'!C266)</x:f>
        <x:v>兰亭</x:v>
      </x:c>
      <x:c r="C72" s="64" t="str">
        <x:f>IF('迁盟总表'!D266="","",'迁盟总表'!D266)</x:f>
        <x:v>玲珑</x:v>
      </x:c>
      <x:c r="D72" s="27" t="str">
        <x:f>IF('迁盟总表'!E266="","",'迁盟总表'!E266)</x:f>
        <x:v>兰亭→玲珑</x:v>
      </x:c>
      <x:c r="E72" s="40" t="n">
        <x:f>IF('迁盟总表'!Q266="","",'迁盟总表'!Q266)</x:f>
        <x:v>1217336074</x:v>
      </x:c>
      <x:c r="F72" s="40" t="n">
        <x:f>IF('迁盟总表'!R266="","",'迁盟总表'!R266)</x:f>
        <x:v>66880532</x:v>
      </x:c>
      <x:c r="G72" s="40" t="n">
        <x:f>IF('迁盟总表'!S266="","",'迁盟总表'!S266)</x:f>
        <x:v>223882880</x:v>
      </x:c>
      <x:c r="H72" s="37" t="n">
        <x:f>IF('迁盟总表'!H266="","",'迁盟总表'!H266)</x:f>
        <x:v>24.5</x:v>
      </x:c>
      <x:c r="I72" s="37" t="n">
        <x:f>IF('迁盟总表'!I266="","",'迁盟总表'!I266)</x:f>
        <x:v>24.5</x:v>
      </x:c>
      <x:c r="J72" s="40" t="n">
        <x:f>IF('迁盟总表'!J266="","",'迁盟总表'!J266)</x:f>
        <x:v>538</x:v>
      </x:c>
      <x:c r="K72" s="40" t="n">
        <x:f>IF('迁盟总表'!K266="","",'迁盟总表'!K266)</x:f>
        <x:v>582</x:v>
      </x:c>
      <x:c r="L72" s="40" t="n">
        <x:f>IF('迁盟总表'!L266="","",'迁盟总表'!L266)</x:f>
        <x:v>596</x:v>
      </x:c>
      <x:c r="M72" s="40" t="n">
        <x:f>IF('迁盟总表'!M266="","",'迁盟总表'!M266)</x:f>
        <x:v>472</x:v>
      </x:c>
      <x:c r="N72" s="40" t="n">
        <x:f>IF('迁盟总表'!N266="","",'迁盟总表'!N266)</x:f>
        <x:v>593</x:v>
      </x:c>
      <x:c r="O72" s="40" t="n">
        <x:f>IF('迁盟总表'!O266="","",'迁盟总表'!O266)</x:f>
        <x:v>518</x:v>
      </x:c>
      <x:c r="P72" s="40" t="n">
        <x:f>IF('迁盟总表'!P266="","",'迁盟总表'!P266)</x:f>
        <x:v>3299</x:v>
      </x:c>
      <x:c r="Q72" s="43" t="n">
        <x:f>IF('迁盟总表'!X266="","",'迁盟总表'!X266)</x:f>
        <x:v>64.8</x:v>
      </x:c>
      <x:c r="R72" s="27" t="n">
        <x:f>IF('迁盟总表'!Y266="","",'迁盟总表'!Y266)</x:f>
        <x:v>258</x:v>
      </x:c>
      <x:c r="S72" s="55" t="str">
        <x:f>IF('迁盟总表'!Z266="","",'迁盟总表'!Z266)</x:f>
        <x:v>参考旧分配方案并结合容量调整</x:v>
      </x:c>
    </x:row>
    <x:row r="73" ht="20" customHeight="1">
      <x:c r="A73" s="26" t="str">
        <x:f>IF('迁盟总表'!B267="","",'迁盟总表'!B267)</x:f>
        <x:v>三维碾压</x:v>
      </x:c>
      <x:c r="B73" s="27" t="str">
        <x:f>IF('迁盟总表'!C267="","",'迁盟总表'!C267)</x:f>
        <x:v>兰亭</x:v>
      </x:c>
      <x:c r="C73" s="64" t="str">
        <x:f>IF('迁盟总表'!D267="","",'迁盟总表'!D267)</x:f>
        <x:v>玲珑</x:v>
      </x:c>
      <x:c r="D73" s="27" t="str">
        <x:f>IF('迁盟总表'!E267="","",'迁盟总表'!E267)</x:f>
        <x:v>兰亭→玲珑</x:v>
      </x:c>
      <x:c r="E73" s="40" t="n">
        <x:f>IF('迁盟总表'!Q267="","",'迁盟总表'!Q267)</x:f>
        <x:v>1745146686</x:v>
      </x:c>
      <x:c r="F73" s="40" t="n">
        <x:f>IF('迁盟总表'!R267="","",'迁盟总表'!R267)</x:f>
        <x:v>67191950</x:v>
      </x:c>
      <x:c r="G73" s="40" t="n">
        <x:f>IF('迁盟总表'!S267="","",'迁盟总表'!S267)</x:f>
        <x:v>213104331</x:v>
      </x:c>
      <x:c r="H73" s="37" t="n">
        <x:f>IF('迁盟总表'!H267="","",'迁盟总表'!H267)</x:f>
        <x:v>22.3</x:v>
      </x:c>
      <x:c r="I73" s="37" t="n">
        <x:f>IF('迁盟总表'!I267="","",'迁盟总表'!I267)</x:f>
        <x:v>22.3</x:v>
      </x:c>
      <x:c r="J73" s="40" t="n">
        <x:f>IF('迁盟总表'!J267="","",'迁盟总表'!J267)</x:f>
        <x:v>602</x:v>
      </x:c>
      <x:c r="K73" s="40" t="n">
        <x:f>IF('迁盟总表'!K267="","",'迁盟总表'!K267)</x:f>
        <x:v>410</x:v>
      </x:c>
      <x:c r="L73" s="40" t="n">
        <x:f>IF('迁盟总表'!L267="","",'迁盟总表'!L267)</x:f>
        <x:v>600</x:v>
      </x:c>
      <x:c r="M73" s="40" t="n">
        <x:f>IF('迁盟总表'!M267="","",'迁盟总表'!M267)</x:f>
        <x:v>366</x:v>
      </x:c>
      <x:c r="N73" s="40" t="n">
        <x:f>IF('迁盟总表'!N267="","",'迁盟总表'!N267)</x:f>
        <x:v>610</x:v>
      </x:c>
      <x:c r="O73" s="40" t="n">
        <x:f>IF('迁盟总表'!O267="","",'迁盟总表'!O267)</x:f>
        <x:v>405</x:v>
      </x:c>
      <x:c r="P73" s="40" t="n">
        <x:f>IF('迁盟总表'!P267="","",'迁盟总表'!P267)</x:f>
        <x:v>2993</x:v>
      </x:c>
      <x:c r="Q73" s="43" t="n">
        <x:f>IF('迁盟总表'!X267="","",'迁盟总表'!X267)</x:f>
        <x:v>64.7</x:v>
      </x:c>
      <x:c r="R73" s="27" t="n">
        <x:f>IF('迁盟总表'!Y267="","",'迁盟总表'!Y267)</x:f>
        <x:v>259</x:v>
      </x:c>
      <x:c r="S73" s="55" t="str">
        <x:f>IF('迁盟总表'!Z267="","",'迁盟总表'!Z267)</x:f>
        <x:v>为一盟战斗重组和盟容量平衡进行对调</x:v>
      </x:c>
    </x:row>
    <x:row r="74" ht="20" customHeight="1">
      <x:c r="A74" s="26" t="str">
        <x:f>IF('迁盟总表'!B268="","",'迁盟总表'!B268)</x:f>
        <x:v>哦豁达</x:v>
      </x:c>
      <x:c r="B74" s="27" t="str">
        <x:f>IF('迁盟总表'!C268="","",'迁盟总表'!C268)</x:f>
        <x:v>玲珑</x:v>
      </x:c>
      <x:c r="C74" s="64" t="str">
        <x:f>IF('迁盟总表'!D268="","",'迁盟总表'!D268)</x:f>
        <x:v>玲珑</x:v>
      </x:c>
      <x:c r="D74" s="27" t="str">
        <x:f>IF('迁盟总表'!E268="","",'迁盟总表'!E268)</x:f>
        <x:v>留盟</x:v>
      </x:c>
      <x:c r="E74" s="40" t="n">
        <x:f>IF('迁盟总表'!Q268="","",'迁盟总表'!Q268)</x:f>
        <x:v>352364442</x:v>
      </x:c>
      <x:c r="F74" s="40" t="n">
        <x:f>IF('迁盟总表'!R268="","",'迁盟总表'!R268)</x:f>
        <x:v>66357111</x:v>
      </x:c>
      <x:c r="G74" s="40" t="n">
        <x:f>IF('迁盟总表'!S268="","",'迁盟总表'!S268)</x:f>
        <x:v>179389273</x:v>
      </x:c>
      <x:c r="H74" s="37" t="str">
        <x:f>IF('迁盟总表'!H268="","",'迁盟总表'!H268)</x:f>
      </x:c>
      <x:c r="I74" s="37" t="str">
        <x:f>IF('迁盟总表'!I268="","",'迁盟总表'!I268)</x:f>
      </x:c>
      <x:c r="J74" s="40" t="str">
        <x:f>IF('迁盟总表'!J268="","",'迁盟总表'!J268)</x:f>
      </x:c>
      <x:c r="K74" s="40" t="str">
        <x:f>IF('迁盟总表'!K268="","",'迁盟总表'!K268)</x:f>
      </x:c>
      <x:c r="L74" s="40" t="str">
        <x:f>IF('迁盟总表'!L268="","",'迁盟总表'!L268)</x:f>
      </x:c>
      <x:c r="M74" s="40" t="str">
        <x:f>IF('迁盟总表'!M268="","",'迁盟总表'!M268)</x:f>
      </x:c>
      <x:c r="N74" s="40" t="str">
        <x:f>IF('迁盟总表'!N268="","",'迁盟总表'!N268)</x:f>
      </x:c>
      <x:c r="O74" s="40" t="str">
        <x:f>IF('迁盟总表'!O268="","",'迁盟总表'!O268)</x:f>
      </x:c>
      <x:c r="P74" s="40" t="str">
        <x:f>IF('迁盟总表'!P268="","",'迁盟总表'!P268)</x:f>
      </x:c>
      <x:c r="Q74" s="43" t="n">
        <x:f>IF('迁盟总表'!X268="","",'迁盟总表'!X268)</x:f>
        <x:v>62.3</x:v>
      </x:c>
      <x:c r="R74" s="27" t="n">
        <x:f>IF('迁盟总表'!Y268="","",'迁盟总表'!Y268)</x:f>
        <x:v>277</x:v>
      </x:c>
      <x:c r="S74" s="55" t="str">
        <x:f>IF('迁盟总表'!Z268="","",'迁盟总表'!Z268)</x:f>
        <x:v>保持当前盟，减少迁移成本</x:v>
      </x:c>
    </x:row>
    <x:row r="75" ht="20" customHeight="1">
      <x:c r="A75" s="26" t="str">
        <x:f>IF('迁盟总表'!B269="","",'迁盟总表'!B269)</x:f>
        <x:v>巴国布衣</x:v>
      </x:c>
      <x:c r="B75" s="27" t="str">
        <x:f>IF('迁盟总表'!C269="","",'迁盟总表'!C269)</x:f>
        <x:v>玲珑</x:v>
      </x:c>
      <x:c r="C75" s="64" t="str">
        <x:f>IF('迁盟总表'!D269="","",'迁盟总表'!D269)</x:f>
        <x:v>玲珑</x:v>
      </x:c>
      <x:c r="D75" s="27" t="str">
        <x:f>IF('迁盟总表'!E269="","",'迁盟总表'!E269)</x:f>
        <x:v>留盟</x:v>
      </x:c>
      <x:c r="E75" s="40" t="n">
        <x:f>IF('迁盟总表'!Q269="","",'迁盟总表'!Q269)</x:f>
        <x:v>805401634</x:v>
      </x:c>
      <x:c r="F75" s="40" t="n">
        <x:f>IF('迁盟总表'!R269="","",'迁盟总表'!R269)</x:f>
        <x:v>58373460</x:v>
      </x:c>
      <x:c r="G75" s="40" t="n">
        <x:f>IF('迁盟总表'!S269="","",'迁盟总表'!S269)</x:f>
        <x:v>151607691</x:v>
      </x:c>
      <x:c r="H75" s="37" t="str">
        <x:f>IF('迁盟总表'!H269="","",'迁盟总表'!H269)</x:f>
      </x:c>
      <x:c r="I75" s="37" t="str">
        <x:f>IF('迁盟总表'!I269="","",'迁盟总表'!I269)</x:f>
      </x:c>
      <x:c r="J75" s="40" t="str">
        <x:f>IF('迁盟总表'!J269="","",'迁盟总表'!J269)</x:f>
      </x:c>
      <x:c r="K75" s="40" t="str">
        <x:f>IF('迁盟总表'!K269="","",'迁盟总表'!K269)</x:f>
      </x:c>
      <x:c r="L75" s="40" t="str">
        <x:f>IF('迁盟总表'!L269="","",'迁盟总表'!L269)</x:f>
      </x:c>
      <x:c r="M75" s="40" t="str">
        <x:f>IF('迁盟总表'!M269="","",'迁盟总表'!M269)</x:f>
      </x:c>
      <x:c r="N75" s="40" t="str">
        <x:f>IF('迁盟总表'!N269="","",'迁盟总表'!N269)</x:f>
      </x:c>
      <x:c r="O75" s="40" t="str">
        <x:f>IF('迁盟总表'!O269="","",'迁盟总表'!O269)</x:f>
      </x:c>
      <x:c r="P75" s="40" t="str">
        <x:f>IF('迁盟总表'!P269="","",'迁盟总表'!P269)</x:f>
      </x:c>
      <x:c r="Q75" s="43" t="n">
        <x:f>IF('迁盟总表'!X269="","",'迁盟总表'!X269)</x:f>
        <x:v>60.7</x:v>
      </x:c>
      <x:c r="R75" s="27" t="n">
        <x:f>IF('迁盟总表'!Y269="","",'迁盟总表'!Y269)</x:f>
        <x:v>286</x:v>
      </x:c>
      <x:c r="S75" s="55" t="str">
        <x:f>IF('迁盟总表'!Z269="","",'迁盟总表'!Z269)</x:f>
        <x:v>保持当前盟，减少迁移成本</x:v>
      </x:c>
    </x:row>
    <x:row r="76" ht="20" customHeight="1">
      <x:c r="A76" s="26" t="str">
        <x:f>IF('迁盟总表'!B270="","",'迁盟总表'!B270)</x:f>
        <x:v>念倾心</x:v>
      </x:c>
      <x:c r="B76" s="27" t="str">
        <x:f>IF('迁盟总表'!C270="","",'迁盟总表'!C270)</x:f>
        <x:v>玲珑</x:v>
      </x:c>
      <x:c r="C76" s="64" t="str">
        <x:f>IF('迁盟总表'!D270="","",'迁盟总表'!D270)</x:f>
        <x:v>玲珑</x:v>
      </x:c>
      <x:c r="D76" s="27" t="str">
        <x:f>IF('迁盟总表'!E270="","",'迁盟总表'!E270)</x:f>
        <x:v>留盟</x:v>
      </x:c>
      <x:c r="E76" s="40" t="n">
        <x:f>IF('迁盟总表'!Q270="","",'迁盟总表'!Q270)</x:f>
        <x:v>452357232</x:v>
      </x:c>
      <x:c r="F76" s="40" t="n">
        <x:f>IF('迁盟总表'!R270="","",'迁盟总表'!R270)</x:f>
        <x:v>58672086</x:v>
      </x:c>
      <x:c r="G76" s="40" t="n">
        <x:f>IF('迁盟总表'!S270="","",'迁盟总表'!S270)</x:f>
        <x:v>166740940</x:v>
      </x:c>
      <x:c r="H76" s="37" t="str">
        <x:f>IF('迁盟总表'!H270="","",'迁盟总表'!H270)</x:f>
      </x:c>
      <x:c r="I76" s="37" t="str">
        <x:f>IF('迁盟总表'!I270="","",'迁盟总表'!I270)</x:f>
      </x:c>
      <x:c r="J76" s="40" t="str">
        <x:f>IF('迁盟总表'!J270="","",'迁盟总表'!J270)</x:f>
      </x:c>
      <x:c r="K76" s="40" t="str">
        <x:f>IF('迁盟总表'!K270="","",'迁盟总表'!K270)</x:f>
      </x:c>
      <x:c r="L76" s="40" t="str">
        <x:f>IF('迁盟总表'!L270="","",'迁盟总表'!L270)</x:f>
      </x:c>
      <x:c r="M76" s="40" t="str">
        <x:f>IF('迁盟总表'!M270="","",'迁盟总表'!M270)</x:f>
      </x:c>
      <x:c r="N76" s="40" t="str">
        <x:f>IF('迁盟总表'!N270="","",'迁盟总表'!N270)</x:f>
      </x:c>
      <x:c r="O76" s="40" t="str">
        <x:f>IF('迁盟总表'!O270="","",'迁盟总表'!O270)</x:f>
      </x:c>
      <x:c r="P76" s="40" t="str">
        <x:f>IF('迁盟总表'!P270="","",'迁盟总表'!P270)</x:f>
      </x:c>
      <x:c r="Q76" s="43" t="n">
        <x:f>IF('迁盟总表'!X270="","",'迁盟总表'!X270)</x:f>
        <x:v>60.2</x:v>
      </x:c>
      <x:c r="R76" s="27" t="n">
        <x:f>IF('迁盟总表'!Y270="","",'迁盟总表'!Y270)</x:f>
        <x:v>287</x:v>
      </x:c>
      <x:c r="S76" s="55" t="str">
        <x:f>IF('迁盟总表'!Z270="","",'迁盟总表'!Z270)</x:f>
        <x:v>保持当前盟，减少迁移成本</x:v>
      </x:c>
    </x:row>
    <x:row r="77" ht="20" customHeight="1">
      <x:c r="A77" s="26" t="str">
        <x:f>IF('迁盟总表'!B271="","",'迁盟总表'!B271)</x:f>
        <x:v>龙门鱼</x:v>
      </x:c>
      <x:c r="B77" s="27" t="str">
        <x:f>IF('迁盟总表'!C271="","",'迁盟总表'!C271)</x:f>
        <x:v>玲珑</x:v>
      </x:c>
      <x:c r="C77" s="64" t="str">
        <x:f>IF('迁盟总表'!D271="","",'迁盟总表'!D271)</x:f>
        <x:v>玲珑</x:v>
      </x:c>
      <x:c r="D77" s="27" t="str">
        <x:f>IF('迁盟总表'!E271="","",'迁盟总表'!E271)</x:f>
        <x:v>留盟</x:v>
      </x:c>
      <x:c r="E77" s="40" t="n">
        <x:f>IF('迁盟总表'!Q271="","",'迁盟总表'!Q271)</x:f>
        <x:v>436612998</x:v>
      </x:c>
      <x:c r="F77" s="40" t="n">
        <x:f>IF('迁盟总表'!R271="","",'迁盟总表'!R271)</x:f>
        <x:v>58070022</x:v>
      </x:c>
      <x:c r="G77" s="40" t="n">
        <x:f>IF('迁盟总表'!S271="","",'迁盟总表'!S271)</x:f>
        <x:v>153425418</x:v>
      </x:c>
      <x:c r="H77" s="37" t="str">
        <x:f>IF('迁盟总表'!H271="","",'迁盟总表'!H271)</x:f>
      </x:c>
      <x:c r="I77" s="37" t="str">
        <x:f>IF('迁盟总表'!I271="","",'迁盟总表'!I271)</x:f>
      </x:c>
      <x:c r="J77" s="40" t="str">
        <x:f>IF('迁盟总表'!J271="","",'迁盟总表'!J271)</x:f>
      </x:c>
      <x:c r="K77" s="40" t="str">
        <x:f>IF('迁盟总表'!K271="","",'迁盟总表'!K271)</x:f>
      </x:c>
      <x:c r="L77" s="40" t="str">
        <x:f>IF('迁盟总表'!L271="","",'迁盟总表'!L271)</x:f>
      </x:c>
      <x:c r="M77" s="40" t="str">
        <x:f>IF('迁盟总表'!M271="","",'迁盟总表'!M271)</x:f>
      </x:c>
      <x:c r="N77" s="40" t="str">
        <x:f>IF('迁盟总表'!N271="","",'迁盟总表'!N271)</x:f>
      </x:c>
      <x:c r="O77" s="40" t="str">
        <x:f>IF('迁盟总表'!O271="","",'迁盟总表'!O271)</x:f>
      </x:c>
      <x:c r="P77" s="40" t="str">
        <x:f>IF('迁盟总表'!P271="","",'迁盟总表'!P271)</x:f>
      </x:c>
      <x:c r="Q77" s="43" t="n">
        <x:f>IF('迁盟总表'!X271="","",'迁盟总表'!X271)</x:f>
        <x:v>59.5</x:v>
      </x:c>
      <x:c r="R77" s="27" t="n">
        <x:f>IF('迁盟总表'!Y271="","",'迁盟总表'!Y271)</x:f>
        <x:v>289</x:v>
      </x:c>
      <x:c r="S77" s="55" t="str">
        <x:f>IF('迁盟总表'!Z271="","",'迁盟总表'!Z271)</x:f>
        <x:v>保持当前盟，减少迁移成本</x:v>
      </x:c>
    </x:row>
    <x:row r="78" ht="20" customHeight="1">
      <x:c r="A78" s="26" t="str">
        <x:f>IF('迁盟总表'!B272="","",'迁盟总表'!B272)</x:f>
        <x:v>小仙女</x:v>
      </x:c>
      <x:c r="B78" s="27" t="str">
        <x:f>IF('迁盟总表'!C272="","",'迁盟总表'!C272)</x:f>
        <x:v>玲珑</x:v>
      </x:c>
      <x:c r="C78" s="64" t="str">
        <x:f>IF('迁盟总表'!D272="","",'迁盟总表'!D272)</x:f>
        <x:v>玲珑</x:v>
      </x:c>
      <x:c r="D78" s="27" t="str">
        <x:f>IF('迁盟总表'!E272="","",'迁盟总表'!E272)</x:f>
        <x:v>留盟</x:v>
      </x:c>
      <x:c r="E78" s="40" t="n">
        <x:f>IF('迁盟总表'!Q272="","",'迁盟总表'!Q272)</x:f>
        <x:v>447654796</x:v>
      </x:c>
      <x:c r="F78" s="40" t="n">
        <x:f>IF('迁盟总表'!R272="","",'迁盟总表'!R272)</x:f>
        <x:v>59791197</x:v>
      </x:c>
      <x:c r="G78" s="40" t="n">
        <x:f>IF('迁盟总表'!S272="","",'迁盟总表'!S272)</x:f>
        <x:v>184214168</x:v>
      </x:c>
      <x:c r="H78" s="37" t="n">
        <x:f>IF('迁盟总表'!H272="","",'迁盟总表'!H272)</x:f>
        <x:v>24.2</x:v>
      </x:c>
      <x:c r="I78" s="37" t="n">
        <x:f>IF('迁盟总表'!I272="","",'迁盟总表'!I272)</x:f>
        <x:v>24.2</x:v>
      </x:c>
      <x:c r="J78" s="40" t="n">
        <x:f>IF('迁盟总表'!J272="","",'迁盟总表'!J272)</x:f>
        <x:v>500</x:v>
      </x:c>
      <x:c r="K78" s="40" t="n">
        <x:f>IF('迁盟总表'!K272="","",'迁盟总表'!K272)</x:f>
        <x:v>600</x:v>
      </x:c>
      <x:c r="L78" s="40" t="n">
        <x:f>IF('迁盟总表'!L272="","",'迁盟总表'!L272)</x:f>
        <x:v>450</x:v>
      </x:c>
      <x:c r="M78" s="40" t="n">
        <x:f>IF('迁盟总表'!M272="","",'迁盟总表'!M272)</x:f>
        <x:v>350</x:v>
      </x:c>
      <x:c r="N78" s="40" t="n">
        <x:f>IF('迁盟总表'!N272="","",'迁盟总表'!N272)</x:f>
        <x:v>570</x:v>
      </x:c>
      <x:c r="O78" s="40" t="n">
        <x:f>IF('迁盟总表'!O272="","",'迁盟总表'!O272)</x:f>
        <x:v>420</x:v>
      </x:c>
      <x:c r="P78" s="40" t="n">
        <x:f>IF('迁盟总表'!P272="","",'迁盟总表'!P272)</x:f>
        <x:v>2890</x:v>
      </x:c>
      <x:c r="Q78" s="43" t="n">
        <x:f>IF('迁盟总表'!X272="","",'迁盟总表'!X272)</x:f>
        <x:v>59.4</x:v>
      </x:c>
      <x:c r="R78" s="27" t="n">
        <x:f>IF('迁盟总表'!Y272="","",'迁盟总表'!Y272)</x:f>
        <x:v>290</x:v>
      </x:c>
      <x:c r="S78" s="55" t="str">
        <x:f>IF('迁盟总表'!Z272="","",'迁盟总表'!Z272)</x:f>
        <x:v>保持当前盟，减少迁移成本</x:v>
      </x:c>
    </x:row>
    <x:row r="79" ht="20" customHeight="1">
      <x:c r="A79" s="26" t="str">
        <x:f>IF('迁盟总表'!B273="","",'迁盟总表'!B273)</x:f>
        <x:v>赵琳琳</x:v>
      </x:c>
      <x:c r="B79" s="27" t="str">
        <x:f>IF('迁盟总表'!C273="","",'迁盟总表'!C273)</x:f>
        <x:v>玲珑</x:v>
      </x:c>
      <x:c r="C79" s="64" t="str">
        <x:f>IF('迁盟总表'!D273="","",'迁盟总表'!D273)</x:f>
        <x:v>玲珑</x:v>
      </x:c>
      <x:c r="D79" s="27" t="str">
        <x:f>IF('迁盟总表'!E273="","",'迁盟总表'!E273)</x:f>
        <x:v>留盟</x:v>
      </x:c>
      <x:c r="E79" s="40" t="n">
        <x:f>IF('迁盟总表'!Q273="","",'迁盟总表'!Q273)</x:f>
        <x:v>83006022</x:v>
      </x:c>
      <x:c r="F79" s="40" t="n">
        <x:f>IF('迁盟总表'!R273="","",'迁盟总表'!R273)</x:f>
        <x:v>66012560</x:v>
      </x:c>
      <x:c r="G79" s="40" t="n">
        <x:f>IF('迁盟总表'!S273="","",'迁盟总表'!S273)</x:f>
        <x:v>170700692</x:v>
      </x:c>
      <x:c r="H79" s="37" t="str">
        <x:f>IF('迁盟总表'!H273="","",'迁盟总表'!H273)</x:f>
      </x:c>
      <x:c r="I79" s="37" t="str">
        <x:f>IF('迁盟总表'!I273="","",'迁盟总表'!I273)</x:f>
      </x:c>
      <x:c r="J79" s="40" t="str">
        <x:f>IF('迁盟总表'!J273="","",'迁盟总表'!J273)</x:f>
      </x:c>
      <x:c r="K79" s="40" t="str">
        <x:f>IF('迁盟总表'!K273="","",'迁盟总表'!K273)</x:f>
      </x:c>
      <x:c r="L79" s="40" t="str">
        <x:f>IF('迁盟总表'!L273="","",'迁盟总表'!L273)</x:f>
      </x:c>
      <x:c r="M79" s="40" t="str">
        <x:f>IF('迁盟总表'!M273="","",'迁盟总表'!M273)</x:f>
      </x:c>
      <x:c r="N79" s="40" t="str">
        <x:f>IF('迁盟总表'!N273="","",'迁盟总表'!N273)</x:f>
      </x:c>
      <x:c r="O79" s="40" t="str">
        <x:f>IF('迁盟总表'!O273="","",'迁盟总表'!O273)</x:f>
      </x:c>
      <x:c r="P79" s="40" t="str">
        <x:f>IF('迁盟总表'!P273="","",'迁盟总表'!P273)</x:f>
      </x:c>
      <x:c r="Q79" s="43" t="n">
        <x:f>IF('迁盟总表'!X273="","",'迁盟总表'!X273)</x:f>
        <x:v>59.2</x:v>
      </x:c>
      <x:c r="R79" s="27" t="n">
        <x:f>IF('迁盟总表'!Y273="","",'迁盟总表'!Y273)</x:f>
        <x:v>291</x:v>
      </x:c>
      <x:c r="S79" s="55" t="str">
        <x:f>IF('迁盟总表'!Z273="","",'迁盟总表'!Z273)</x:f>
        <x:v>保持当前盟，减少迁移成本</x:v>
      </x:c>
    </x:row>
    <x:row r="80" ht="20" customHeight="1">
      <x:c r="A80" s="26" t="str">
        <x:f>IF('迁盟总表'!B274="","",'迁盟总表'!B274)</x:f>
        <x:v>清风明月似故人</x:v>
      </x:c>
      <x:c r="B80" s="27" t="str">
        <x:f>IF('迁盟总表'!C274="","",'迁盟总表'!C274)</x:f>
        <x:v>玲珑</x:v>
      </x:c>
      <x:c r="C80" s="64" t="str">
        <x:f>IF('迁盟总表'!D274="","",'迁盟总表'!D274)</x:f>
        <x:v>玲珑</x:v>
      </x:c>
      <x:c r="D80" s="27" t="str">
        <x:f>IF('迁盟总表'!E274="","",'迁盟总表'!E274)</x:f>
        <x:v>留盟</x:v>
      </x:c>
      <x:c r="E80" s="40" t="n">
        <x:f>IF('迁盟总表'!Q274="","",'迁盟总表'!Q274)</x:f>
        <x:v>568742674</x:v>
      </x:c>
      <x:c r="F80" s="40" t="n">
        <x:f>IF('迁盟总表'!R274="","",'迁盟总表'!R274)</x:f>
        <x:v>56714157</x:v>
      </x:c>
      <x:c r="G80" s="40" t="n">
        <x:f>IF('迁盟总表'!S274="","",'迁盟总表'!S274)</x:f>
        <x:v>121006253</x:v>
      </x:c>
      <x:c r="H80" s="37" t="str">
        <x:f>IF('迁盟总表'!H274="","",'迁盟总表'!H274)</x:f>
      </x:c>
      <x:c r="I80" s="37" t="str">
        <x:f>IF('迁盟总表'!I274="","",'迁盟总表'!I274)</x:f>
      </x:c>
      <x:c r="J80" s="40" t="str">
        <x:f>IF('迁盟总表'!J274="","",'迁盟总表'!J274)</x:f>
      </x:c>
      <x:c r="K80" s="40" t="str">
        <x:f>IF('迁盟总表'!K274="","",'迁盟总表'!K274)</x:f>
      </x:c>
      <x:c r="L80" s="40" t="str">
        <x:f>IF('迁盟总表'!L274="","",'迁盟总表'!L274)</x:f>
      </x:c>
      <x:c r="M80" s="40" t="str">
        <x:f>IF('迁盟总表'!M274="","",'迁盟总表'!M274)</x:f>
      </x:c>
      <x:c r="N80" s="40" t="str">
        <x:f>IF('迁盟总表'!N274="","",'迁盟总表'!N274)</x:f>
      </x:c>
      <x:c r="O80" s="40" t="str">
        <x:f>IF('迁盟总表'!O274="","",'迁盟总表'!O274)</x:f>
      </x:c>
      <x:c r="P80" s="40" t="str">
        <x:f>IF('迁盟总表'!P274="","",'迁盟总表'!P274)</x:f>
      </x:c>
      <x:c r="Q80" s="43" t="n">
        <x:f>IF('迁盟总表'!X274="","",'迁盟总表'!X274)</x:f>
        <x:v>58.6</x:v>
      </x:c>
      <x:c r="R80" s="27" t="n">
        <x:f>IF('迁盟总表'!Y274="","",'迁盟总表'!Y274)</x:f>
        <x:v>293</x:v>
      </x:c>
      <x:c r="S80" s="55" t="str">
        <x:f>IF('迁盟总表'!Z274="","",'迁盟总表'!Z274)</x:f>
        <x:v>保持当前盟，减少迁移成本</x:v>
      </x:c>
    </x:row>
    <x:row r="81" ht="20" customHeight="1">
      <x:c r="A81" s="26" t="str">
        <x:f>IF('迁盟总表'!B275="","",'迁盟总表'!B275)</x:f>
        <x:v>阳光阳光</x:v>
      </x:c>
      <x:c r="B81" s="27" t="str">
        <x:f>IF('迁盟总表'!C275="","",'迁盟总表'!C275)</x:f>
        <x:v>玲珑</x:v>
      </x:c>
      <x:c r="C81" s="64" t="str">
        <x:f>IF('迁盟总表'!D275="","",'迁盟总表'!D275)</x:f>
        <x:v>玲珑</x:v>
      </x:c>
      <x:c r="D81" s="27" t="str">
        <x:f>IF('迁盟总表'!E275="","",'迁盟总表'!E275)</x:f>
        <x:v>留盟</x:v>
      </x:c>
      <x:c r="E81" s="40" t="n">
        <x:f>IF('迁盟总表'!Q275="","",'迁盟总表'!Q275)</x:f>
        <x:v>4486812</x:v>
      </x:c>
      <x:c r="F81" s="40" t="n">
        <x:f>IF('迁盟总表'!R275="","",'迁盟总表'!R275)</x:f>
        <x:v>66348552</x:v>
      </x:c>
      <x:c r="G81" s="40" t="n">
        <x:f>IF('迁盟总表'!S275="","",'迁盟总表'!S275)</x:f>
        <x:v>199344273</x:v>
      </x:c>
      <x:c r="H81" s="37" t="str">
        <x:f>IF('迁盟总表'!H275="","",'迁盟总表'!H275)</x:f>
      </x:c>
      <x:c r="I81" s="37" t="str">
        <x:f>IF('迁盟总表'!I275="","",'迁盟总表'!I275)</x:f>
      </x:c>
      <x:c r="J81" s="40" t="str">
        <x:f>IF('迁盟总表'!J275="","",'迁盟总表'!J275)</x:f>
      </x:c>
      <x:c r="K81" s="40" t="str">
        <x:f>IF('迁盟总表'!K275="","",'迁盟总表'!K275)</x:f>
      </x:c>
      <x:c r="L81" s="40" t="str">
        <x:f>IF('迁盟总表'!L275="","",'迁盟总表'!L275)</x:f>
      </x:c>
      <x:c r="M81" s="40" t="str">
        <x:f>IF('迁盟总表'!M275="","",'迁盟总表'!M275)</x:f>
      </x:c>
      <x:c r="N81" s="40" t="str">
        <x:f>IF('迁盟总表'!N275="","",'迁盟总表'!N275)</x:f>
      </x:c>
      <x:c r="O81" s="40" t="str">
        <x:f>IF('迁盟总表'!O275="","",'迁盟总表'!O275)</x:f>
      </x:c>
      <x:c r="P81" s="40" t="str">
        <x:f>IF('迁盟总表'!P275="","",'迁盟总表'!P275)</x:f>
      </x:c>
      <x:c r="Q81" s="43" t="n">
        <x:f>IF('迁盟总表'!X275="","",'迁盟总表'!X275)</x:f>
        <x:v>54.7</x:v>
      </x:c>
      <x:c r="R81" s="27" t="n">
        <x:f>IF('迁盟总表'!Y275="","",'迁盟总表'!Y275)</x:f>
        <x:v>298</x:v>
      </x:c>
      <x:c r="S81" s="55" t="str">
        <x:f>IF('迁盟总表'!Z275="","",'迁盟总表'!Z275)</x:f>
        <x:v>保持当前盟，减少迁移成本</x:v>
      </x:c>
    </x:row>
    <x:row r="82" ht="20" customHeight="1">
      <x:c r="A82" s="26" t="str">
        <x:f>IF('迁盟总表'!B276="","",'迁盟总表'!B276)</x:f>
        <x:v>等风来</x:v>
      </x:c>
      <x:c r="B82" s="27" t="str">
        <x:f>IF('迁盟总表'!C276="","",'迁盟总表'!C276)</x:f>
        <x:v>玲珑</x:v>
      </x:c>
      <x:c r="C82" s="64" t="str">
        <x:f>IF('迁盟总表'!D276="","",'迁盟总表'!D276)</x:f>
        <x:v>玲珑</x:v>
      </x:c>
      <x:c r="D82" s="27" t="str">
        <x:f>IF('迁盟总表'!E276="","",'迁盟总表'!E276)</x:f>
        <x:v>留盟</x:v>
      </x:c>
      <x:c r="E82" s="40" t="n">
        <x:f>IF('迁盟总表'!Q276="","",'迁盟总表'!Q276)</x:f>
        <x:v>420168344</x:v>
      </x:c>
      <x:c r="F82" s="40" t="n">
        <x:f>IF('迁盟总表'!R276="","",'迁盟总表'!R276)</x:f>
        <x:v>48367688</x:v>
      </x:c>
      <x:c r="G82" s="40" t="n">
        <x:f>IF('迁盟总表'!S276="","",'迁盟总表'!S276)</x:f>
        <x:v>109443819</x:v>
      </x:c>
      <x:c r="H82" s="37" t="n">
        <x:f>IF('迁盟总表'!H276="","",'迁盟总表'!H276)</x:f>
        <x:v>19.2</x:v>
      </x:c>
      <x:c r="I82" s="37" t="n">
        <x:f>IF('迁盟总表'!I276="","",'迁盟总表'!I276)</x:f>
        <x:v>19.2</x:v>
      </x:c>
      <x:c r="J82" s="40" t="n">
        <x:f>IF('迁盟总表'!J276="","",'迁盟总表'!J276)</x:f>
        <x:v>474</x:v>
      </x:c>
      <x:c r="K82" s="40" t="n">
        <x:f>IF('迁盟总表'!K276="","",'迁盟总表'!K276)</x:f>
        <x:v>399</x:v>
      </x:c>
      <x:c r="L82" s="40" t="n">
        <x:f>IF('迁盟总表'!L276="","",'迁盟总表'!L276)</x:f>
        <x:v>369</x:v>
      </x:c>
      <x:c r="M82" s="40" t="n">
        <x:f>IF('迁盟总表'!M276="","",'迁盟总表'!M276)</x:f>
        <x:v>266</x:v>
      </x:c>
      <x:c r="N82" s="40" t="n">
        <x:f>IF('迁盟总表'!N276="","",'迁盟总表'!N276)</x:f>
        <x:v>472</x:v>
      </x:c>
      <x:c r="O82" s="40" t="n">
        <x:f>IF('迁盟总表'!O276="","",'迁盟总表'!O276)</x:f>
        <x:v>379</x:v>
      </x:c>
      <x:c r="P82" s="40" t="n">
        <x:f>IF('迁盟总表'!P276="","",'迁盟总表'!P276)</x:f>
        <x:v>2359</x:v>
      </x:c>
      <x:c r="Q82" s="43" t="n">
        <x:f>IF('迁盟总表'!X276="","",'迁盟总表'!X276)</x:f>
        <x:v>53.4</x:v>
      </x:c>
      <x:c r="R82" s="27" t="n">
        <x:f>IF('迁盟总表'!Y276="","",'迁盟总表'!Y276)</x:f>
        <x:v>302</x:v>
      </x:c>
      <x:c r="S82" s="55" t="str">
        <x:f>IF('迁盟总表'!Z276="","",'迁盟总表'!Z276)</x:f>
        <x:v>保持当前盟，减少迁移成本</x:v>
      </x:c>
    </x:row>
    <x:row r="83" ht="20" customHeight="1">
      <x:c r="A83" s="26" t="str">
        <x:f>IF('迁盟总表'!B277="","",'迁盟总表'!B277)</x:f>
        <x:v>光屁股的腚</x:v>
      </x:c>
      <x:c r="B83" s="27" t="str">
        <x:f>IF('迁盟总表'!C277="","",'迁盟总表'!C277)</x:f>
        <x:v>玲珑</x:v>
      </x:c>
      <x:c r="C83" s="64" t="str">
        <x:f>IF('迁盟总表'!D277="","",'迁盟总表'!D277)</x:f>
        <x:v>玲珑</x:v>
      </x:c>
      <x:c r="D83" s="27" t="str">
        <x:f>IF('迁盟总表'!E277="","",'迁盟总表'!E277)</x:f>
        <x:v>留盟</x:v>
      </x:c>
      <x:c r="E83" s="40" t="n">
        <x:f>IF('迁盟总表'!Q277="","",'迁盟总表'!Q277)</x:f>
        <x:v>329098610</x:v>
      </x:c>
      <x:c r="F83" s="40" t="n">
        <x:f>IF('迁盟总表'!R277="","",'迁盟总表'!R277)</x:f>
        <x:v>44792662</x:v>
      </x:c>
      <x:c r="G83" s="40" t="n">
        <x:f>IF('迁盟总表'!S277="","",'迁盟总表'!S277)</x:f>
        <x:v>84382200</x:v>
      </x:c>
      <x:c r="H83" s="37" t="str">
        <x:f>IF('迁盟总表'!H277="","",'迁盟总表'!H277)</x:f>
      </x:c>
      <x:c r="I83" s="37" t="str">
        <x:f>IF('迁盟总表'!I277="","",'迁盟总表'!I277)</x:f>
      </x:c>
      <x:c r="J83" s="40" t="str">
        <x:f>IF('迁盟总表'!J277="","",'迁盟总表'!J277)</x:f>
      </x:c>
      <x:c r="K83" s="40" t="str">
        <x:f>IF('迁盟总表'!K277="","",'迁盟总表'!K277)</x:f>
      </x:c>
      <x:c r="L83" s="40" t="str">
        <x:f>IF('迁盟总表'!L277="","",'迁盟总表'!L277)</x:f>
      </x:c>
      <x:c r="M83" s="40" t="str">
        <x:f>IF('迁盟总表'!M277="","",'迁盟总表'!M277)</x:f>
      </x:c>
      <x:c r="N83" s="40" t="str">
        <x:f>IF('迁盟总表'!N277="","",'迁盟总表'!N277)</x:f>
      </x:c>
      <x:c r="O83" s="40" t="str">
        <x:f>IF('迁盟总表'!O277="","",'迁盟总表'!O277)</x:f>
      </x:c>
      <x:c r="P83" s="40" t="str">
        <x:f>IF('迁盟总表'!P277="","",'迁盟总表'!P277)</x:f>
      </x:c>
      <x:c r="Q83" s="43" t="n">
        <x:f>IF('迁盟总表'!X277="","",'迁盟总表'!X277)</x:f>
        <x:v>52.9</x:v>
      </x:c>
      <x:c r="R83" s="27" t="n">
        <x:f>IF('迁盟总表'!Y277="","",'迁盟总表'!Y277)</x:f>
        <x:v>303</x:v>
      </x:c>
      <x:c r="S83" s="55" t="str">
        <x:f>IF('迁盟总表'!Z277="","",'迁盟总表'!Z277)</x:f>
        <x:v>保持当前盟，减少迁移成本</x:v>
      </x:c>
    </x:row>
    <x:row r="84" ht="20" customHeight="1">
      <x:c r="A84" s="26" t="str">
        <x:f>IF('迁盟总表'!B278="","",'迁盟总表'!B278)</x:f>
        <x:v>喵胖胖3号</x:v>
      </x:c>
      <x:c r="B84" s="27" t="str">
        <x:f>IF('迁盟总表'!C278="","",'迁盟总表'!C278)</x:f>
        <x:v>玲珑</x:v>
      </x:c>
      <x:c r="C84" s="64" t="str">
        <x:f>IF('迁盟总表'!D278="","",'迁盟总表'!D278)</x:f>
        <x:v>玲珑</x:v>
      </x:c>
      <x:c r="D84" s="27" t="str">
        <x:f>IF('迁盟总表'!E278="","",'迁盟总表'!E278)</x:f>
        <x:v>留盟</x:v>
      </x:c>
      <x:c r="E84" s="40" t="n">
        <x:f>IF('迁盟总表'!Q278="","",'迁盟总表'!Q278)</x:f>
        <x:v>3000000</x:v>
      </x:c>
      <x:c r="F84" s="40" t="n">
        <x:f>IF('迁盟总表'!R278="","",'迁盟总表'!R278)</x:f>
        <x:v>62537380</x:v>
      </x:c>
      <x:c r="G84" s="40" t="n">
        <x:f>IF('迁盟总表'!S278="","",'迁盟总表'!S278)</x:f>
        <x:v>167934849</x:v>
      </x:c>
      <x:c r="H84" s="37" t="str">
        <x:f>IF('迁盟总表'!H278="","",'迁盟总表'!H278)</x:f>
      </x:c>
      <x:c r="I84" s="37" t="str">
        <x:f>IF('迁盟总表'!I278="","",'迁盟总表'!I278)</x:f>
      </x:c>
      <x:c r="J84" s="40" t="str">
        <x:f>IF('迁盟总表'!J278="","",'迁盟总表'!J278)</x:f>
      </x:c>
      <x:c r="K84" s="40" t="str">
        <x:f>IF('迁盟总表'!K278="","",'迁盟总表'!K278)</x:f>
      </x:c>
      <x:c r="L84" s="40" t="str">
        <x:f>IF('迁盟总表'!L278="","",'迁盟总表'!L278)</x:f>
      </x:c>
      <x:c r="M84" s="40" t="str">
        <x:f>IF('迁盟总表'!M278="","",'迁盟总表'!M278)</x:f>
      </x:c>
      <x:c r="N84" s="40" t="str">
        <x:f>IF('迁盟总表'!N278="","",'迁盟总表'!N278)</x:f>
      </x:c>
      <x:c r="O84" s="40" t="str">
        <x:f>IF('迁盟总表'!O278="","",'迁盟总表'!O278)</x:f>
      </x:c>
      <x:c r="P84" s="40" t="str">
        <x:f>IF('迁盟总表'!P278="","",'迁盟总表'!P278)</x:f>
      </x:c>
      <x:c r="Q84" s="43" t="n">
        <x:f>IF('迁盟总表'!X278="","",'迁盟总表'!X278)</x:f>
        <x:v>51.8</x:v>
      </x:c>
      <x:c r="R84" s="27" t="n">
        <x:f>IF('迁盟总表'!Y278="","",'迁盟总表'!Y278)</x:f>
        <x:v>304</x:v>
      </x:c>
      <x:c r="S84" s="55" t="str">
        <x:f>IF('迁盟总表'!Z278="","",'迁盟总表'!Z278)</x:f>
        <x:v>保持当前盟，减少迁移成本</x:v>
      </x:c>
    </x:row>
    <x:row r="85" ht="20" customHeight="1">
      <x:c r="A85" s="26" t="str">
        <x:f>IF('迁盟总表'!B279="","",'迁盟总表'!B279)</x:f>
        <x:v>水淼木森</x:v>
      </x:c>
      <x:c r="B85" s="27" t="str">
        <x:f>IF('迁盟总表'!C279="","",'迁盟总表'!C279)</x:f>
        <x:v>玲珑</x:v>
      </x:c>
      <x:c r="C85" s="64" t="str">
        <x:f>IF('迁盟总表'!D279="","",'迁盟总表'!D279)</x:f>
        <x:v>玲珑</x:v>
      </x:c>
      <x:c r="D85" s="27" t="str">
        <x:f>IF('迁盟总表'!E279="","",'迁盟总表'!E279)</x:f>
        <x:v>留盟</x:v>
      </x:c>
      <x:c r="E85" s="40" t="n">
        <x:f>IF('迁盟总表'!Q279="","",'迁盟总表'!Q279)</x:f>
        <x:v>89068992</x:v>
      </x:c>
      <x:c r="F85" s="40" t="n">
        <x:f>IF('迁盟总表'!R279="","",'迁盟总表'!R279)</x:f>
        <x:v>44212658</x:v>
      </x:c>
      <x:c r="G85" s="40" t="n">
        <x:f>IF('迁盟总表'!S279="","",'迁盟总表'!S279)</x:f>
        <x:v>91957547</x:v>
      </x:c>
      <x:c r="H85" s="37" t="str">
        <x:f>IF('迁盟总表'!H279="","",'迁盟总表'!H279)</x:f>
      </x:c>
      <x:c r="I85" s="37" t="str">
        <x:f>IF('迁盟总表'!I279="","",'迁盟总表'!I279)</x:f>
      </x:c>
      <x:c r="J85" s="40" t="str">
        <x:f>IF('迁盟总表'!J279="","",'迁盟总表'!J279)</x:f>
      </x:c>
      <x:c r="K85" s="40" t="str">
        <x:f>IF('迁盟总表'!K279="","",'迁盟总表'!K279)</x:f>
      </x:c>
      <x:c r="L85" s="40" t="str">
        <x:f>IF('迁盟总表'!L279="","",'迁盟总表'!L279)</x:f>
      </x:c>
      <x:c r="M85" s="40" t="str">
        <x:f>IF('迁盟总表'!M279="","",'迁盟总表'!M279)</x:f>
      </x:c>
      <x:c r="N85" s="40" t="str">
        <x:f>IF('迁盟总表'!N279="","",'迁盟总表'!N279)</x:f>
      </x:c>
      <x:c r="O85" s="40" t="str">
        <x:f>IF('迁盟总表'!O279="","",'迁盟总表'!O279)</x:f>
      </x:c>
      <x:c r="P85" s="40" t="str">
        <x:f>IF('迁盟总表'!P279="","",'迁盟总表'!P279)</x:f>
      </x:c>
      <x:c r="Q85" s="43" t="n">
        <x:f>IF('迁盟总表'!X279="","",'迁盟总表'!X279)</x:f>
        <x:v>50.5</x:v>
      </x:c>
      <x:c r="R85" s="27" t="n">
        <x:f>IF('迁盟总表'!Y279="","",'迁盟总表'!Y279)</x:f>
        <x:v>305</x:v>
      </x:c>
      <x:c r="S85" s="55" t="str">
        <x:f>IF('迁盟总表'!Z279="","",'迁盟总表'!Z279)</x:f>
        <x:v>保持当前盟，减少迁移成本</x:v>
      </x:c>
    </x:row>
    <x:row r="86" ht="20" customHeight="1">
      <x:c r="A86" s="26" t="str">
        <x:f>IF('迁盟总表'!B280="","",'迁盟总表'!B280)</x:f>
        <x:v>拐奕粥瑶</x:v>
      </x:c>
      <x:c r="B86" s="27" t="str">
        <x:f>IF('迁盟总表'!C280="","",'迁盟总表'!C280)</x:f>
        <x:v>玲珑</x:v>
      </x:c>
      <x:c r="C86" s="64" t="str">
        <x:f>IF('迁盟总表'!D280="","",'迁盟总表'!D280)</x:f>
        <x:v>玲珑</x:v>
      </x:c>
      <x:c r="D86" s="27" t="str">
        <x:f>IF('迁盟总表'!E280="","",'迁盟总表'!E280)</x:f>
        <x:v>留盟</x:v>
      </x:c>
      <x:c r="E86" s="40" t="n">
        <x:f>IF('迁盟总表'!Q280="","",'迁盟总表'!Q280)</x:f>
        <x:v>44868120</x:v>
      </x:c>
      <x:c r="F86" s="40" t="n">
        <x:f>IF('迁盟总表'!R280="","",'迁盟总表'!R280)</x:f>
        <x:v>37140855</x:v>
      </x:c>
      <x:c r="G86" s="40" t="n">
        <x:f>IF('迁盟总表'!S280="","",'迁盟总表'!S280)</x:f>
        <x:v>64157365</x:v>
      </x:c>
      <x:c r="H86" s="37" t="str">
        <x:f>IF('迁盟总表'!H280="","",'迁盟总表'!H280)</x:f>
      </x:c>
      <x:c r="I86" s="37" t="str">
        <x:f>IF('迁盟总表'!I280="","",'迁盟总表'!I280)</x:f>
      </x:c>
      <x:c r="J86" s="40" t="str">
        <x:f>IF('迁盟总表'!J280="","",'迁盟总表'!J280)</x:f>
      </x:c>
      <x:c r="K86" s="40" t="str">
        <x:f>IF('迁盟总表'!K280="","",'迁盟总表'!K280)</x:f>
      </x:c>
      <x:c r="L86" s="40" t="str">
        <x:f>IF('迁盟总表'!L280="","",'迁盟总表'!L280)</x:f>
      </x:c>
      <x:c r="M86" s="40" t="str">
        <x:f>IF('迁盟总表'!M280="","",'迁盟总表'!M280)</x:f>
      </x:c>
      <x:c r="N86" s="40" t="str">
        <x:f>IF('迁盟总表'!N280="","",'迁盟总表'!N280)</x:f>
      </x:c>
      <x:c r="O86" s="40" t="str">
        <x:f>IF('迁盟总表'!O280="","",'迁盟总表'!O280)</x:f>
      </x:c>
      <x:c r="P86" s="40" t="str">
        <x:f>IF('迁盟总表'!P280="","",'迁盟总表'!P280)</x:f>
      </x:c>
      <x:c r="Q86" s="43" t="n">
        <x:f>IF('迁盟总表'!X280="","",'迁盟总表'!X280)</x:f>
        <x:v>46.3</x:v>
      </x:c>
      <x:c r="R86" s="27" t="n">
        <x:f>IF('迁盟总表'!Y280="","",'迁盟总表'!Y280)</x:f>
        <x:v>306</x:v>
      </x:c>
      <x:c r="S86" s="55" t="str">
        <x:f>IF('迁盟总表'!Z280="","",'迁盟总表'!Z280)</x:f>
        <x:v>保持当前盟，减少迁移成本</x:v>
      </x:c>
    </x:row>
    <x:row r="87" ht="20" customHeight="1">
      <x:c r="A87" s="26" t="str">
        <x:f>IF('迁盟总表'!B281="","",'迁盟总表'!B281)</x:f>
        <x:v>羽扇纶巾痞子男</x:v>
      </x:c>
      <x:c r="B87" s="27" t="str">
        <x:f>IF('迁盟总表'!C281="","",'迁盟总表'!C281)</x:f>
        <x:v>玲珑</x:v>
      </x:c>
      <x:c r="C87" s="64" t="str">
        <x:f>IF('迁盟总表'!D281="","",'迁盟总表'!D281)</x:f>
        <x:v>玲珑</x:v>
      </x:c>
      <x:c r="D87" s="27" t="str">
        <x:f>IF('迁盟总表'!E281="","",'迁盟总表'!E281)</x:f>
        <x:v>留盟</x:v>
      </x:c>
      <x:c r="E87" s="40" t="str">
        <x:f>IF('迁盟总表'!Q281="","",'迁盟总表'!Q281)</x:f>
      </x:c>
      <x:c r="F87" s="40" t="n">
        <x:f>IF('迁盟总表'!R281="","",'迁盟总表'!R281)</x:f>
        <x:v>107305423</x:v>
      </x:c>
      <x:c r="G87" s="40" t="n">
        <x:f>IF('迁盟总表'!S281="","",'迁盟总表'!S281)</x:f>
        <x:v>317191535</x:v>
      </x:c>
      <x:c r="H87" s="37" t="str">
        <x:f>IF('迁盟总表'!H281="","",'迁盟总表'!H281)</x:f>
      </x:c>
      <x:c r="I87" s="37" t="str">
        <x:f>IF('迁盟总表'!I281="","",'迁盟总表'!I281)</x:f>
      </x:c>
      <x:c r="J87" s="40" t="str">
        <x:f>IF('迁盟总表'!J281="","",'迁盟总表'!J281)</x:f>
      </x:c>
      <x:c r="K87" s="40" t="str">
        <x:f>IF('迁盟总表'!K281="","",'迁盟总表'!K281)</x:f>
      </x:c>
      <x:c r="L87" s="40" t="str">
        <x:f>IF('迁盟总表'!L281="","",'迁盟总表'!L281)</x:f>
      </x:c>
      <x:c r="M87" s="40" t="str">
        <x:f>IF('迁盟总表'!M281="","",'迁盟总表'!M281)</x:f>
      </x:c>
      <x:c r="N87" s="40" t="str">
        <x:f>IF('迁盟总表'!N281="","",'迁盟总表'!N281)</x:f>
      </x:c>
      <x:c r="O87" s="40" t="str">
        <x:f>IF('迁盟总表'!O281="","",'迁盟总表'!O281)</x:f>
      </x:c>
      <x:c r="P87" s="40" t="str">
        <x:f>IF('迁盟总表'!P281="","",'迁盟总表'!P281)</x:f>
      </x:c>
      <x:c r="Q87" s="43" t="n">
        <x:f>IF('迁盟总表'!X281="","",'迁盟总表'!X281)</x:f>
        <x:v>41.1</x:v>
      </x:c>
      <x:c r="R87" s="27" t="n">
        <x:f>IF('迁盟总表'!Y281="","",'迁盟总表'!Y281)</x:f>
        <x:v>309</x:v>
      </x:c>
      <x:c r="S87" s="55" t="str">
        <x:f>IF('迁盟总表'!Z281="","",'迁盟总表'!Z281)</x:f>
        <x:v>保持当前盟，减少迁移成本</x:v>
      </x:c>
    </x:row>
    <x:row r="88" ht="20" customHeight="1">
      <x:c r="A88" s="26" t="str">
        <x:f>IF('迁盟总表'!B282="","",'迁盟总表'!B282)</x:f>
        <x:v>太太太太太常规</x:v>
      </x:c>
      <x:c r="B88" s="27" t="str">
        <x:f>IF('迁盟总表'!C282="","",'迁盟总表'!C282)</x:f>
        <x:v>玲珑</x:v>
      </x:c>
      <x:c r="C88" s="64" t="str">
        <x:f>IF('迁盟总表'!D282="","",'迁盟总表'!D282)</x:f>
        <x:v>玲珑</x:v>
      </x:c>
      <x:c r="D88" s="27" t="str">
        <x:f>IF('迁盟总表'!E282="","",'迁盟总表'!E282)</x:f>
        <x:v>留盟</x:v>
      </x:c>
      <x:c r="E88" s="40" t="str">
        <x:f>IF('迁盟总表'!Q282="","",'迁盟总表'!Q282)</x:f>
      </x:c>
      <x:c r="F88" s="40" t="n">
        <x:f>IF('迁盟总表'!R282="","",'迁盟总表'!R282)</x:f>
        <x:v>90246794</x:v>
      </x:c>
      <x:c r="G88" s="40" t="n">
        <x:f>IF('迁盟总表'!S282="","",'迁盟总表'!S282)</x:f>
        <x:v>358824055</x:v>
      </x:c>
      <x:c r="H88" s="37" t="n">
        <x:f>IF('迁盟总表'!H282="","",'迁盟总表'!H282)</x:f>
        <x:v>28.8</x:v>
      </x:c>
      <x:c r="I88" s="37" t="n">
        <x:f>IF('迁盟总表'!I282="","",'迁盟总表'!I282)</x:f>
        <x:v>28.8</x:v>
      </x:c>
      <x:c r="J88" s="40" t="n">
        <x:f>IF('迁盟总表'!J282="","",'迁盟总表'!J282)</x:f>
        <x:v>808</x:v>
      </x:c>
      <x:c r="K88" s="40" t="n">
        <x:f>IF('迁盟总表'!K282="","",'迁盟总表'!K282)</x:f>
        <x:v>793</x:v>
      </x:c>
      <x:c r="L88" s="40" t="n">
        <x:f>IF('迁盟总表'!L282="","",'迁盟总表'!L282)</x:f>
        <x:v>692</x:v>
      </x:c>
      <x:c r="M88" s="40" t="n">
        <x:f>IF('迁盟总表'!M282="","",'迁盟总表'!M282)</x:f>
        <x:v>612</x:v>
      </x:c>
      <x:c r="N88" s="40" t="n">
        <x:f>IF('迁盟总表'!N282="","",'迁盟总表'!N282)</x:f>
        <x:v>737</x:v>
      </x:c>
      <x:c r="O88" s="40" t="n">
        <x:f>IF('迁盟总表'!O282="","",'迁盟总表'!O282)</x:f>
        <x:v>788</x:v>
      </x:c>
      <x:c r="P88" s="40" t="n">
        <x:f>IF('迁盟总表'!P282="","",'迁盟总表'!P282)</x:f>
        <x:v>4430</x:v>
      </x:c>
      <x:c r="Q88" s="43" t="n">
        <x:f>IF('迁盟总表'!X282="","",'迁盟总表'!X282)</x:f>
        <x:v>40.7</x:v>
      </x:c>
      <x:c r="R88" s="27" t="n">
        <x:f>IF('迁盟总表'!Y282="","",'迁盟总表'!Y282)</x:f>
        <x:v>310</x:v>
      </x:c>
      <x:c r="S88" s="55" t="str">
        <x:f>IF('迁盟总表'!Z282="","",'迁盟总表'!Z282)</x:f>
        <x:v>保持当前盟，减少迁移成本</x:v>
      </x:c>
    </x:row>
    <x:row r="89" ht="20" customHeight="1">
      <x:c r="A89" s="26" t="str">
        <x:f>IF('迁盟总表'!B283="","",'迁盟总表'!B283)</x:f>
        <x:v>发呆第一名</x:v>
      </x:c>
      <x:c r="B89" s="27" t="str">
        <x:f>IF('迁盟总表'!C283="","",'迁盟总表'!C283)</x:f>
        <x:v>玲珑</x:v>
      </x:c>
      <x:c r="C89" s="64" t="str">
        <x:f>IF('迁盟总表'!D283="","",'迁盟总表'!D283)</x:f>
        <x:v>玲珑</x:v>
      </x:c>
      <x:c r="D89" s="27" t="str">
        <x:f>IF('迁盟总表'!E283="","",'迁盟总表'!E283)</x:f>
        <x:v>留盟</x:v>
      </x:c>
      <x:c r="E89" s="40" t="str">
        <x:f>IF('迁盟总表'!Q283="","",'迁盟总表'!Q283)</x:f>
      </x:c>
      <x:c r="F89" s="40" t="n">
        <x:f>IF('迁盟总表'!R283="","",'迁盟总表'!R283)</x:f>
        <x:v>84968821</x:v>
      </x:c>
      <x:c r="G89" s="40" t="n">
        <x:f>IF('迁盟总表'!S283="","",'迁盟总表'!S283)</x:f>
        <x:v>252677544</x:v>
      </x:c>
      <x:c r="H89" s="37" t="n">
        <x:f>IF('迁盟总表'!H283="","",'迁盟总表'!H283)</x:f>
        <x:v>26.6</x:v>
      </x:c>
      <x:c r="I89" s="37" t="n">
        <x:f>IF('迁盟总表'!I283="","",'迁盟总表'!I283)</x:f>
        <x:v>22.5</x:v>
      </x:c>
      <x:c r="J89" s="40" t="n">
        <x:f>IF('迁盟总表'!J283="","",'迁盟总表'!J283)</x:f>
        <x:v>718</x:v>
      </x:c>
      <x:c r="K89" s="40" t="n">
        <x:f>IF('迁盟总表'!K283="","",'迁盟总表'!K283)</x:f>
        <x:v>760</x:v>
      </x:c>
      <x:c r="L89" s="40" t="n">
        <x:f>IF('迁盟总表'!L283="","",'迁盟总表'!L283)</x:f>
        <x:v>672</x:v>
      </x:c>
      <x:c r="M89" s="40" t="n">
        <x:f>IF('迁盟总表'!M283="","",'迁盟总表'!M283)</x:f>
        <x:v>645</x:v>
      </x:c>
      <x:c r="N89" s="40" t="n">
        <x:f>IF('迁盟总表'!N283="","",'迁盟总表'!N283)</x:f>
        <x:v>685</x:v>
      </x:c>
      <x:c r="O89" s="40" t="n">
        <x:f>IF('迁盟总表'!O283="","",'迁盟总表'!O283)</x:f>
        <x:v>751</x:v>
      </x:c>
      <x:c r="P89" s="40" t="n">
        <x:f>IF('迁盟总表'!P283="","",'迁盟总表'!P283)</x:f>
        <x:v>4231</x:v>
      </x:c>
      <x:c r="Q89" s="43" t="n">
        <x:f>IF('迁盟总表'!X283="","",'迁盟总表'!X283)</x:f>
        <x:v>36</x:v>
      </x:c>
      <x:c r="R89" s="27" t="n">
        <x:f>IF('迁盟总表'!Y283="","",'迁盟总表'!Y283)</x:f>
        <x:v>313</x:v>
      </x:c>
      <x:c r="S89" s="55" t="str">
        <x:f>IF('迁盟总表'!Z283="","",'迁盟总表'!Z283)</x:f>
        <x:v>保持当前盟，减少迁移成本</x:v>
      </x:c>
    </x:row>
    <x:row r="90" ht="20" customHeight="1">
      <x:c r="A90" s="26" t="str">
        <x:f>IF('迁盟总表'!B284="","",'迁盟总表'!B284)</x:f>
        <x:v>人不老实话多</x:v>
      </x:c>
      <x:c r="B90" s="27" t="str">
        <x:f>IF('迁盟总表'!C284="","",'迁盟总表'!C284)</x:f>
        <x:v>玲珑</x:v>
      </x:c>
      <x:c r="C90" s="64" t="str">
        <x:f>IF('迁盟总表'!D284="","",'迁盟总表'!D284)</x:f>
        <x:v>玲珑</x:v>
      </x:c>
      <x:c r="D90" s="27" t="str">
        <x:f>IF('迁盟总表'!E284="","",'迁盟总表'!E284)</x:f>
        <x:v>留盟</x:v>
      </x:c>
      <x:c r="E90" s="40" t="str">
        <x:f>IF('迁盟总表'!Q284="","",'迁盟总表'!Q284)</x:f>
      </x:c>
      <x:c r="F90" s="40" t="n">
        <x:f>IF('迁盟总表'!R284="","",'迁盟总表'!R284)</x:f>
        <x:v>89616654</x:v>
      </x:c>
      <x:c r="G90" s="40" t="n">
        <x:f>IF('迁盟总表'!S284="","",'迁盟总表'!S284)</x:f>
        <x:v>290737959</x:v>
      </x:c>
      <x:c r="H90" s="37" t="str">
        <x:f>IF('迁盟总表'!H284="","",'迁盟总表'!H284)</x:f>
      </x:c>
      <x:c r="I90" s="37" t="str">
        <x:f>IF('迁盟总表'!I284="","",'迁盟总表'!I284)</x:f>
      </x:c>
      <x:c r="J90" s="40" t="str">
        <x:f>IF('迁盟总表'!J284="","",'迁盟总表'!J284)</x:f>
      </x:c>
      <x:c r="K90" s="40" t="str">
        <x:f>IF('迁盟总表'!K284="","",'迁盟总表'!K284)</x:f>
      </x:c>
      <x:c r="L90" s="40" t="str">
        <x:f>IF('迁盟总表'!L284="","",'迁盟总表'!L284)</x:f>
      </x:c>
      <x:c r="M90" s="40" t="str">
        <x:f>IF('迁盟总表'!M284="","",'迁盟总表'!M284)</x:f>
      </x:c>
      <x:c r="N90" s="40" t="str">
        <x:f>IF('迁盟总表'!N284="","",'迁盟总表'!N284)</x:f>
      </x:c>
      <x:c r="O90" s="40" t="str">
        <x:f>IF('迁盟总表'!O284="","",'迁盟总表'!O284)</x:f>
      </x:c>
      <x:c r="P90" s="40" t="str">
        <x:f>IF('迁盟总表'!P284="","",'迁盟总表'!P284)</x:f>
      </x:c>
      <x:c r="Q90" s="43" t="n">
        <x:f>IF('迁盟总表'!X284="","",'迁盟总表'!X284)</x:f>
        <x:v>35.2</x:v>
      </x:c>
      <x:c r="R90" s="27" t="n">
        <x:f>IF('迁盟总表'!Y284="","",'迁盟总表'!Y284)</x:f>
        <x:v>314</x:v>
      </x:c>
      <x:c r="S90" s="55" t="str">
        <x:f>IF('迁盟总表'!Z284="","",'迁盟总表'!Z284)</x:f>
        <x:v>保持当前盟，减少迁移成本</x:v>
      </x:c>
    </x:row>
    <x:row r="91" ht="20" customHeight="1">
      <x:c r="A91" s="26" t="str">
        <x:f>IF('迁盟总表'!B285="","",'迁盟总表'!B285)</x:f>
        <x:v>明天吃什么</x:v>
      </x:c>
      <x:c r="B91" s="27" t="str">
        <x:f>IF('迁盟总表'!C285="","",'迁盟总表'!C285)</x:f>
        <x:v>玲珑</x:v>
      </x:c>
      <x:c r="C91" s="64" t="str">
        <x:f>IF('迁盟总表'!D285="","",'迁盟总表'!D285)</x:f>
        <x:v>玲珑</x:v>
      </x:c>
      <x:c r="D91" s="27" t="str">
        <x:f>IF('迁盟总表'!E285="","",'迁盟总表'!E285)</x:f>
        <x:v>留盟</x:v>
      </x:c>
      <x:c r="E91" s="40" t="str">
        <x:f>IF('迁盟总表'!Q285="","",'迁盟总表'!Q285)</x:f>
      </x:c>
      <x:c r="F91" s="40" t="n">
        <x:f>IF('迁盟总表'!R285="","",'迁盟总表'!R285)</x:f>
        <x:v>73041804</x:v>
      </x:c>
      <x:c r="G91" s="40" t="n">
        <x:f>IF('迁盟总表'!S285="","",'迁盟总表'!S285)</x:f>
        <x:v>207285867</x:v>
      </x:c>
      <x:c r="H91" s="37" t="n">
        <x:f>IF('迁盟总表'!H285="","",'迁盟总表'!H285)</x:f>
        <x:v>22.5</x:v>
      </x:c>
      <x:c r="I91" s="37" t="n">
        <x:f>IF('迁盟总表'!I285="","",'迁盟总表'!I285)</x:f>
        <x:v>22.5</x:v>
      </x:c>
      <x:c r="J91" s="40" t="n">
        <x:f>IF('迁盟总表'!J285="","",'迁盟总表'!J285)</x:f>
        <x:v>658</x:v>
      </x:c>
      <x:c r="K91" s="40" t="n">
        <x:f>IF('迁盟总表'!K285="","",'迁盟总表'!K285)</x:f>
        <x:v>590</x:v>
      </x:c>
      <x:c r="L91" s="40" t="n">
        <x:f>IF('迁盟总表'!L285="","",'迁盟总表'!L285)</x:f>
        <x:v>565</x:v>
      </x:c>
      <x:c r="M91" s="40" t="n">
        <x:f>IF('迁盟总表'!M285="","",'迁盟总表'!M285)</x:f>
        <x:v>475</x:v>
      </x:c>
      <x:c r="N91" s="40" t="n">
        <x:f>IF('迁盟总表'!N285="","",'迁盟总表'!N285)</x:f>
        <x:v>590</x:v>
      </x:c>
      <x:c r="O91" s="40" t="n">
        <x:f>IF('迁盟总表'!O285="","",'迁盟总表'!O285)</x:f>
        <x:v>647</x:v>
      </x:c>
      <x:c r="P91" s="40" t="n">
        <x:f>IF('迁盟总表'!P285="","",'迁盟总表'!P285)</x:f>
        <x:v>3525</x:v>
      </x:c>
      <x:c r="Q91" s="43" t="n">
        <x:f>IF('迁盟总表'!X285="","",'迁盟总表'!X285)</x:f>
        <x:v>30.4</x:v>
      </x:c>
      <x:c r="R91" s="27" t="n">
        <x:f>IF('迁盟总表'!Y285="","",'迁盟总表'!Y285)</x:f>
        <x:v>315</x:v>
      </x:c>
      <x:c r="S91" s="55" t="str">
        <x:f>IF('迁盟总表'!Z285="","",'迁盟总表'!Z285)</x:f>
        <x:v>保持当前盟，减少迁移成本</x:v>
      </x:c>
    </x:row>
    <x:row r="92" ht="20" customHeight="1">
      <x:c r="A92" s="26" t="str">
        <x:f>IF('迁盟总表'!B286="","",'迁盟总表'!B286)</x:f>
        <x:v>今仙子</x:v>
      </x:c>
      <x:c r="B92" s="27" t="str">
        <x:f>IF('迁盟总表'!C286="","",'迁盟总表'!C286)</x:f>
        <x:v>玲珑</x:v>
      </x:c>
      <x:c r="C92" s="64" t="str">
        <x:f>IF('迁盟总表'!D286="","",'迁盟总表'!D286)</x:f>
        <x:v>玲珑</x:v>
      </x:c>
      <x:c r="D92" s="27" t="str">
        <x:f>IF('迁盟总表'!E286="","",'迁盟总表'!E286)</x:f>
        <x:v>留盟</x:v>
      </x:c>
      <x:c r="E92" s="40" t="str">
        <x:f>IF('迁盟总表'!Q286="","",'迁盟总表'!Q286)</x:f>
      </x:c>
      <x:c r="F92" s="40" t="n">
        <x:f>IF('迁盟总表'!R286="","",'迁盟总表'!R286)</x:f>
        <x:v>73072064</x:v>
      </x:c>
      <x:c r="G92" s="40" t="n">
        <x:f>IF('迁盟总表'!S286="","",'迁盟总表'!S286)</x:f>
        <x:v>274094979</x:v>
      </x:c>
      <x:c r="H92" s="37" t="str">
        <x:f>IF('迁盟总表'!H286="","",'迁盟总表'!H286)</x:f>
      </x:c>
      <x:c r="I92" s="37" t="str">
        <x:f>IF('迁盟总表'!I286="","",'迁盟总表'!I286)</x:f>
      </x:c>
      <x:c r="J92" s="40" t="str">
        <x:f>IF('迁盟总表'!J286="","",'迁盟总表'!J286)</x:f>
      </x:c>
      <x:c r="K92" s="40" t="str">
        <x:f>IF('迁盟总表'!K286="","",'迁盟总表'!K286)</x:f>
      </x:c>
      <x:c r="L92" s="40" t="str">
        <x:f>IF('迁盟总表'!L286="","",'迁盟总表'!L286)</x:f>
      </x:c>
      <x:c r="M92" s="40" t="str">
        <x:f>IF('迁盟总表'!M286="","",'迁盟总表'!M286)</x:f>
      </x:c>
      <x:c r="N92" s="40" t="str">
        <x:f>IF('迁盟总表'!N286="","",'迁盟总表'!N286)</x:f>
      </x:c>
      <x:c r="O92" s="40" t="str">
        <x:f>IF('迁盟总表'!O286="","",'迁盟总表'!O286)</x:f>
      </x:c>
      <x:c r="P92" s="40" t="str">
        <x:f>IF('迁盟总表'!P286="","",'迁盟总表'!P286)</x:f>
      </x:c>
      <x:c r="Q92" s="43" t="n">
        <x:f>IF('迁盟总表'!X286="","",'迁盟总表'!X286)</x:f>
        <x:v>29.9</x:v>
      </x:c>
      <x:c r="R92" s="27" t="n">
        <x:f>IF('迁盟总表'!Y286="","",'迁盟总表'!Y286)</x:f>
        <x:v>316</x:v>
      </x:c>
      <x:c r="S92" s="55" t="str">
        <x:f>IF('迁盟总表'!Z286="","",'迁盟总表'!Z286)</x:f>
        <x:v>保持当前盟，减少迁移成本</x:v>
      </x:c>
    </x:row>
    <x:row r="93" ht="20" customHeight="1">
      <x:c r="A93" s="26" t="str">
        <x:f>IF('迁盟总表'!B287="","",'迁盟总表'!B287)</x:f>
        <x:v>吃几个馍</x:v>
      </x:c>
      <x:c r="B93" s="27" t="str">
        <x:f>IF('迁盟总表'!C287="","",'迁盟总表'!C287)</x:f>
        <x:v>玲珑</x:v>
      </x:c>
      <x:c r="C93" s="64" t="str">
        <x:f>IF('迁盟总表'!D287="","",'迁盟总表'!D287)</x:f>
        <x:v>玲珑</x:v>
      </x:c>
      <x:c r="D93" s="27" t="str">
        <x:f>IF('迁盟总表'!E287="","",'迁盟总表'!E287)</x:f>
        <x:v>留盟</x:v>
      </x:c>
      <x:c r="E93" s="40" t="str">
        <x:f>IF('迁盟总表'!Q287="","",'迁盟总表'!Q287)</x:f>
      </x:c>
      <x:c r="F93" s="40" t="n">
        <x:f>IF('迁盟总表'!R287="","",'迁盟总表'!R287)</x:f>
        <x:v>72458938</x:v>
      </x:c>
      <x:c r="G93" s="40" t="n">
        <x:f>IF('迁盟总表'!S287="","",'迁盟总表'!S287)</x:f>
        <x:v>120113515</x:v>
      </x:c>
      <x:c r="H93" s="37" t="str">
        <x:f>IF('迁盟总表'!H287="","",'迁盟总表'!H287)</x:f>
      </x:c>
      <x:c r="I93" s="37" t="str">
        <x:f>IF('迁盟总表'!I287="","",'迁盟总表'!I287)</x:f>
      </x:c>
      <x:c r="J93" s="40" t="str">
        <x:f>IF('迁盟总表'!J287="","",'迁盟总表'!J287)</x:f>
      </x:c>
      <x:c r="K93" s="40" t="str">
        <x:f>IF('迁盟总表'!K287="","",'迁盟总表'!K287)</x:f>
      </x:c>
      <x:c r="L93" s="40" t="str">
        <x:f>IF('迁盟总表'!L287="","",'迁盟总表'!L287)</x:f>
      </x:c>
      <x:c r="M93" s="40" t="str">
        <x:f>IF('迁盟总表'!M287="","",'迁盟总表'!M287)</x:f>
      </x:c>
      <x:c r="N93" s="40" t="str">
        <x:f>IF('迁盟总表'!N287="","",'迁盟总表'!N287)</x:f>
      </x:c>
      <x:c r="O93" s="40" t="str">
        <x:f>IF('迁盟总表'!O287="","",'迁盟总表'!O287)</x:f>
      </x:c>
      <x:c r="P93" s="40" t="str">
        <x:f>IF('迁盟总表'!P287="","",'迁盟总表'!P287)</x:f>
      </x:c>
      <x:c r="Q93" s="43" t="n">
        <x:f>IF('迁盟总表'!X287="","",'迁盟总表'!X287)</x:f>
        <x:v>24.7</x:v>
      </x:c>
      <x:c r="R93" s="27" t="n">
        <x:f>IF('迁盟总表'!Y287="","",'迁盟总表'!Y287)</x:f>
        <x:v>319</x:v>
      </x:c>
      <x:c r="S93" s="55" t="str">
        <x:f>IF('迁盟总表'!Z287="","",'迁盟总表'!Z287)</x:f>
        <x:v>保持当前盟，减少迁移成本</x:v>
      </x:c>
    </x:row>
    <x:row r="94" ht="20" customHeight="1">
      <x:c r="A94" s="26" t="str">
        <x:f>IF('迁盟总表'!B288="","",'迁盟总表'!B288)</x:f>
        <x:v>王者看天下</x:v>
      </x:c>
      <x:c r="B94" s="27" t="str">
        <x:f>IF('迁盟总表'!C288="","",'迁盟总表'!C288)</x:f>
        <x:v>玲珑</x:v>
      </x:c>
      <x:c r="C94" s="64" t="str">
        <x:f>IF('迁盟总表'!D288="","",'迁盟总表'!D288)</x:f>
        <x:v>玲珑</x:v>
      </x:c>
      <x:c r="D94" s="27" t="str">
        <x:f>IF('迁盟总表'!E288="","",'迁盟总表'!E288)</x:f>
        <x:v>留盟</x:v>
      </x:c>
      <x:c r="E94" s="40" t="str">
        <x:f>IF('迁盟总表'!Q288="","",'迁盟总表'!Q288)</x:f>
      </x:c>
      <x:c r="F94" s="40" t="n">
        <x:f>IF('迁盟总表'!R288="","",'迁盟总表'!R288)</x:f>
        <x:v>60029238</x:v>
      </x:c>
      <x:c r="G94" s="40" t="n">
        <x:f>IF('迁盟总表'!S288="","",'迁盟总表'!S288)</x:f>
        <x:v>145205349</x:v>
      </x:c>
      <x:c r="H94" s="37" t="str">
        <x:f>IF('迁盟总表'!H288="","",'迁盟总表'!H288)</x:f>
      </x:c>
      <x:c r="I94" s="37" t="str">
        <x:f>IF('迁盟总表'!I288="","",'迁盟总表'!I288)</x:f>
      </x:c>
      <x:c r="J94" s="40" t="str">
        <x:f>IF('迁盟总表'!J288="","",'迁盟总表'!J288)</x:f>
      </x:c>
      <x:c r="K94" s="40" t="str">
        <x:f>IF('迁盟总表'!K288="","",'迁盟总表'!K288)</x:f>
      </x:c>
      <x:c r="L94" s="40" t="str">
        <x:f>IF('迁盟总表'!L288="","",'迁盟总表'!L288)</x:f>
      </x:c>
      <x:c r="M94" s="40" t="str">
        <x:f>IF('迁盟总表'!M288="","",'迁盟总表'!M288)</x:f>
      </x:c>
      <x:c r="N94" s="40" t="str">
        <x:f>IF('迁盟总表'!N288="","",'迁盟总表'!N288)</x:f>
      </x:c>
      <x:c r="O94" s="40" t="str">
        <x:f>IF('迁盟总表'!O288="","",'迁盟总表'!O288)</x:f>
      </x:c>
      <x:c r="P94" s="40" t="str">
        <x:f>IF('迁盟总表'!P288="","",'迁盟总表'!P288)</x:f>
      </x:c>
      <x:c r="Q94" s="43" t="n">
        <x:f>IF('迁盟总表'!X288="","",'迁盟总表'!X288)</x:f>
        <x:v>22</x:v>
      </x:c>
      <x:c r="R94" s="27" t="n">
        <x:f>IF('迁盟总表'!Y288="","",'迁盟总表'!Y288)</x:f>
        <x:v>323</x:v>
      </x:c>
      <x:c r="S94" s="55" t="str">
        <x:f>IF('迁盟总表'!Z288="","",'迁盟总表'!Z288)</x:f>
        <x:v>保持当前盟，减少迁移成本</x:v>
      </x:c>
    </x:row>
    <x:row r="95" ht="20" customHeight="1">
      <x:c r="A95" s="26" t="str">
        <x:f>IF('迁盟总表'!B289="","",'迁盟总表'!B289)</x:f>
        <x:v>漂亮炮灰</x:v>
      </x:c>
      <x:c r="B95" s="27" t="str">
        <x:f>IF('迁盟总表'!C289="","",'迁盟总表'!C289)</x:f>
        <x:v>玲珑</x:v>
      </x:c>
      <x:c r="C95" s="64" t="str">
        <x:f>IF('迁盟总表'!D289="","",'迁盟总表'!D289)</x:f>
        <x:v>玲珑</x:v>
      </x:c>
      <x:c r="D95" s="27" t="str">
        <x:f>IF('迁盟总表'!E289="","",'迁盟总表'!E289)</x:f>
        <x:v>留盟</x:v>
      </x:c>
      <x:c r="E95" s="40" t="str">
        <x:f>IF('迁盟总表'!Q289="","",'迁盟总表'!Q289)</x:f>
      </x:c>
      <x:c r="F95" s="40" t="n">
        <x:f>IF('迁盟总表'!R289="","",'迁盟总表'!R289)</x:f>
        <x:v>53310946</x:v>
      </x:c>
      <x:c r="G95" s="40" t="n">
        <x:f>IF('迁盟总表'!S289="","",'迁盟总表'!S289)</x:f>
        <x:v>134323294</x:v>
      </x:c>
      <x:c r="H95" s="37" t="n">
        <x:f>IF('迁盟总表'!H289="","",'迁盟总表'!H289)</x:f>
        <x:v>20</x:v>
      </x:c>
      <x:c r="I95" s="37" t="n">
        <x:f>IF('迁盟总表'!I289="","",'迁盟总表'!I289)</x:f>
        <x:v>20</x:v>
      </x:c>
      <x:c r="J95" s="40" t="n">
        <x:f>IF('迁盟总表'!J289="","",'迁盟总表'!J289)</x:f>
        <x:v>461</x:v>
      </x:c>
      <x:c r="K95" s="40" t="n">
        <x:f>IF('迁盟总表'!K289="","",'迁盟总表'!K289)</x:f>
        <x:v>410</x:v>
      </x:c>
      <x:c r="L95" s="40" t="n">
        <x:f>IF('迁盟总表'!L289="","",'迁盟总表'!L289)</x:f>
        <x:v>380</x:v>
      </x:c>
      <x:c r="M95" s="40" t="n">
        <x:f>IF('迁盟总表'!M289="","",'迁盟总表'!M289)</x:f>
        <x:v>248</x:v>
      </x:c>
      <x:c r="N95" s="40" t="n">
        <x:f>IF('迁盟总表'!N289="","",'迁盟总表'!N289)</x:f>
        <x:v>492</x:v>
      </x:c>
      <x:c r="O95" s="40" t="n">
        <x:f>IF('迁盟总表'!O289="","",'迁盟总表'!O289)</x:f>
        <x:v>352</x:v>
      </x:c>
      <x:c r="P95" s="40" t="n">
        <x:f>IF('迁盟总表'!P289="","",'迁盟总表'!P289)</x:f>
        <x:v>2343</x:v>
      </x:c>
      <x:c r="Q95" s="43" t="n">
        <x:f>IF('迁盟总表'!X289="","",'迁盟总表'!X289)</x:f>
        <x:v>21.4</x:v>
      </x:c>
      <x:c r="R95" s="27" t="n">
        <x:f>IF('迁盟总表'!Y289="","",'迁盟总表'!Y289)</x:f>
        <x:v>324</x:v>
      </x:c>
      <x:c r="S95" s="55" t="str">
        <x:f>IF('迁盟总表'!Z289="","",'迁盟总表'!Z289)</x:f>
        <x:v>保持当前盟，减少迁移成本</x:v>
      </x:c>
    </x:row>
    <x:row r="96" ht="20" customHeight="1">
      <x:c r="A96" s="26" t="str">
        <x:f>IF('迁盟总表'!B290="","",'迁盟总表'!B290)</x:f>
        <x:v>随缘就好</x:v>
      </x:c>
      <x:c r="B96" s="27" t="str">
        <x:f>IF('迁盟总表'!C290="","",'迁盟总表'!C290)</x:f>
        <x:v>玲珑</x:v>
      </x:c>
      <x:c r="C96" s="64" t="str">
        <x:f>IF('迁盟总表'!D290="","",'迁盟总表'!D290)</x:f>
        <x:v>玲珑</x:v>
      </x:c>
      <x:c r="D96" s="27" t="str">
        <x:f>IF('迁盟总表'!E290="","",'迁盟总表'!E290)</x:f>
        <x:v>留盟</x:v>
      </x:c>
      <x:c r="E96" s="40" t="str">
        <x:f>IF('迁盟总表'!Q290="","",'迁盟总表'!Q290)</x:f>
      </x:c>
      <x:c r="F96" s="40" t="n">
        <x:f>IF('迁盟总表'!R290="","",'迁盟总表'!R290)</x:f>
        <x:v>52066755</x:v>
      </x:c>
      <x:c r="G96" s="40" t="n">
        <x:f>IF('迁盟总表'!S290="","",'迁盟总表'!S290)</x:f>
        <x:v>113990310</x:v>
      </x:c>
      <x:c r="H96" s="37" t="str">
        <x:f>IF('迁盟总表'!H290="","",'迁盟总表'!H290)</x:f>
      </x:c>
      <x:c r="I96" s="37" t="str">
        <x:f>IF('迁盟总表'!I290="","",'迁盟总表'!I290)</x:f>
      </x:c>
      <x:c r="J96" s="40" t="str">
        <x:f>IF('迁盟总表'!J290="","",'迁盟总表'!J290)</x:f>
      </x:c>
      <x:c r="K96" s="40" t="str">
        <x:f>IF('迁盟总表'!K290="","",'迁盟总表'!K290)</x:f>
      </x:c>
      <x:c r="L96" s="40" t="str">
        <x:f>IF('迁盟总表'!L290="","",'迁盟总表'!L290)</x:f>
      </x:c>
      <x:c r="M96" s="40" t="str">
        <x:f>IF('迁盟总表'!M290="","",'迁盟总表'!M290)</x:f>
      </x:c>
      <x:c r="N96" s="40" t="str">
        <x:f>IF('迁盟总表'!N290="","",'迁盟总表'!N290)</x:f>
      </x:c>
      <x:c r="O96" s="40" t="str">
        <x:f>IF('迁盟总表'!O290="","",'迁盟总表'!O290)</x:f>
      </x:c>
      <x:c r="P96" s="40" t="str">
        <x:f>IF('迁盟总表'!P290="","",'迁盟总表'!P290)</x:f>
      </x:c>
      <x:c r="Q96" s="43" t="n">
        <x:f>IF('迁盟总表'!X290="","",'迁盟总表'!X290)</x:f>
        <x:v>18.7</x:v>
      </x:c>
      <x:c r="R96" s="27" t="n">
        <x:f>IF('迁盟总表'!Y290="","",'迁盟总表'!Y290)</x:f>
        <x:v>325</x:v>
      </x:c>
      <x:c r="S96" s="55" t="str">
        <x:f>IF('迁盟总表'!Z290="","",'迁盟总表'!Z290)</x:f>
        <x:v>保持当前盟，减少迁移成本</x:v>
      </x:c>
    </x:row>
    <x:row r="97" ht="20" customHeight="1">
      <x:c r="A97" s="26" t="str">
        <x:f>IF('迁盟总表'!B291="","",'迁盟总表'!B291)</x:f>
        <x:v>肥嘟嘟左卫门</x:v>
      </x:c>
      <x:c r="B97" s="27" t="str">
        <x:f>IF('迁盟总表'!C291="","",'迁盟总表'!C291)</x:f>
        <x:v>玲珑</x:v>
      </x:c>
      <x:c r="C97" s="64" t="str">
        <x:f>IF('迁盟总表'!D291="","",'迁盟总表'!D291)</x:f>
        <x:v>玲珑</x:v>
      </x:c>
      <x:c r="D97" s="27" t="str">
        <x:f>IF('迁盟总表'!E291="","",'迁盟总表'!E291)</x:f>
        <x:v>留盟</x:v>
      </x:c>
      <x:c r="E97" s="40" t="str">
        <x:f>IF('迁盟总表'!Q291="","",'迁盟总表'!Q291)</x:f>
      </x:c>
      <x:c r="F97" s="40" t="n">
        <x:f>IF('迁盟总表'!R291="","",'迁盟总表'!R291)</x:f>
        <x:v>44883691</x:v>
      </x:c>
      <x:c r="G97" s="40" t="n">
        <x:f>IF('迁盟总表'!S291="","",'迁盟总表'!S291)</x:f>
        <x:v>101423624</x:v>
      </x:c>
      <x:c r="H97" s="37" t="str">
        <x:f>IF('迁盟总表'!H291="","",'迁盟总表'!H291)</x:f>
      </x:c>
      <x:c r="I97" s="37" t="str">
        <x:f>IF('迁盟总表'!I291="","",'迁盟总表'!I291)</x:f>
      </x:c>
      <x:c r="J97" s="40" t="str">
        <x:f>IF('迁盟总表'!J291="","",'迁盟总表'!J291)</x:f>
      </x:c>
      <x:c r="K97" s="40" t="str">
        <x:f>IF('迁盟总表'!K291="","",'迁盟总表'!K291)</x:f>
      </x:c>
      <x:c r="L97" s="40" t="str">
        <x:f>IF('迁盟总表'!L291="","",'迁盟总表'!L291)</x:f>
      </x:c>
      <x:c r="M97" s="40" t="str">
        <x:f>IF('迁盟总表'!M291="","",'迁盟总表'!M291)</x:f>
      </x:c>
      <x:c r="N97" s="40" t="str">
        <x:f>IF('迁盟总表'!N291="","",'迁盟总表'!N291)</x:f>
      </x:c>
      <x:c r="O97" s="40" t="str">
        <x:f>IF('迁盟总表'!O291="","",'迁盟总表'!O291)</x:f>
      </x:c>
      <x:c r="P97" s="40" t="str">
        <x:f>IF('迁盟总表'!P291="","",'迁盟总表'!P291)</x:f>
      </x:c>
      <x:c r="Q97" s="43" t="n">
        <x:f>IF('迁盟总表'!X291="","",'迁盟总表'!X291)</x:f>
        <x:v>16.2</x:v>
      </x:c>
      <x:c r="R97" s="27" t="n">
        <x:f>IF('迁盟总表'!Y291="","",'迁盟总表'!Y291)</x:f>
        <x:v>330</x:v>
      </x:c>
      <x:c r="S97" s="55" t="str">
        <x:f>IF('迁盟总表'!Z291="","",'迁盟总表'!Z291)</x:f>
        <x:v>保持当前盟，减少迁移成本</x:v>
      </x:c>
    </x:row>
    <x:row r="98" ht="20" customHeight="1">
      <x:c r="A98" s="26" t="str">
        <x:f>IF('迁盟总表'!B292="","",'迁盟总表'!B292)</x:f>
        <x:v>月亮代表我的心</x:v>
      </x:c>
      <x:c r="B98" s="27" t="str">
        <x:f>IF('迁盟总表'!C292="","",'迁盟总表'!C292)</x:f>
        <x:v>玲珑</x:v>
      </x:c>
      <x:c r="C98" s="64" t="str">
        <x:f>IF('迁盟总表'!D292="","",'迁盟总表'!D292)</x:f>
        <x:v>玲珑</x:v>
      </x:c>
      <x:c r="D98" s="27" t="str">
        <x:f>IF('迁盟总表'!E292="","",'迁盟总表'!E292)</x:f>
        <x:v>留盟</x:v>
      </x:c>
      <x:c r="E98" s="40" t="str">
        <x:f>IF('迁盟总表'!Q292="","",'迁盟总表'!Q292)</x:f>
      </x:c>
      <x:c r="F98" s="40" t="n">
        <x:f>IF('迁盟总表'!R292="","",'迁盟总表'!R292)</x:f>
        <x:v>45319556</x:v>
      </x:c>
      <x:c r="G98" s="40" t="n">
        <x:f>IF('迁盟总表'!S292="","",'迁盟总表'!S292)</x:f>
        <x:v>87179324</x:v>
      </x:c>
      <x:c r="H98" s="37" t="str">
        <x:f>IF('迁盟总表'!H292="","",'迁盟总表'!H292)</x:f>
      </x:c>
      <x:c r="I98" s="37" t="str">
        <x:f>IF('迁盟总表'!I292="","",'迁盟总表'!I292)</x:f>
      </x:c>
      <x:c r="J98" s="40" t="str">
        <x:f>IF('迁盟总表'!J292="","",'迁盟总表'!J292)</x:f>
      </x:c>
      <x:c r="K98" s="40" t="str">
        <x:f>IF('迁盟总表'!K292="","",'迁盟总表'!K292)</x:f>
      </x:c>
      <x:c r="L98" s="40" t="str">
        <x:f>IF('迁盟总表'!L292="","",'迁盟总表'!L292)</x:f>
      </x:c>
      <x:c r="M98" s="40" t="str">
        <x:f>IF('迁盟总表'!M292="","",'迁盟总表'!M292)</x:f>
      </x:c>
      <x:c r="N98" s="40" t="str">
        <x:f>IF('迁盟总表'!N292="","",'迁盟总表'!N292)</x:f>
      </x:c>
      <x:c r="O98" s="40" t="str">
        <x:f>IF('迁盟总表'!O292="","",'迁盟总表'!O292)</x:f>
      </x:c>
      <x:c r="P98" s="40" t="str">
        <x:f>IF('迁盟总表'!P292="","",'迁盟总表'!P292)</x:f>
      </x:c>
      <x:c r="Q98" s="43" t="n">
        <x:f>IF('迁盟总表'!X292="","",'迁盟总表'!X292)</x:f>
        <x:v>15.8</x:v>
      </x:c>
      <x:c r="R98" s="27" t="n">
        <x:f>IF('迁盟总表'!Y292="","",'迁盟总表'!Y292)</x:f>
        <x:v>332</x:v>
      </x:c>
      <x:c r="S98" s="55" t="str">
        <x:f>IF('迁盟总表'!Z292="","",'迁盟总表'!Z292)</x:f>
        <x:v>保持当前盟，减少迁移成本</x:v>
      </x:c>
    </x:row>
    <x:row r="99" ht="20" customHeight="1">
      <x:c r="A99" s="26" t="str">
        <x:f>IF('迁盟总表'!B293="","",'迁盟总表'!B293)</x:f>
        <x:v>小米粒</x:v>
      </x:c>
      <x:c r="B99" s="27" t="str">
        <x:f>IF('迁盟总表'!C293="","",'迁盟总表'!C293)</x:f>
        <x:v>玲珑</x:v>
      </x:c>
      <x:c r="C99" s="64" t="str">
        <x:f>IF('迁盟总表'!D293="","",'迁盟总表'!D293)</x:f>
        <x:v>玲珑</x:v>
      </x:c>
      <x:c r="D99" s="27" t="str">
        <x:f>IF('迁盟总表'!E293="","",'迁盟总表'!E293)</x:f>
        <x:v>留盟</x:v>
      </x:c>
      <x:c r="E99" s="40" t="str">
        <x:f>IF('迁盟总表'!Q293="","",'迁盟总表'!Q293)</x:f>
      </x:c>
      <x:c r="F99" s="40" t="n">
        <x:f>IF('迁盟总表'!R293="","",'迁盟总表'!R293)</x:f>
        <x:v>40544009</x:v>
      </x:c>
      <x:c r="G99" s="40" t="n">
        <x:f>IF('迁盟总表'!S293="","",'迁盟总表'!S293)</x:f>
        <x:v>107513562</x:v>
      </x:c>
      <x:c r="H99" s="37" t="str">
        <x:f>IF('迁盟总表'!H293="","",'迁盟总表'!H293)</x:f>
      </x:c>
      <x:c r="I99" s="37" t="str">
        <x:f>IF('迁盟总表'!I293="","",'迁盟总表'!I293)</x:f>
      </x:c>
      <x:c r="J99" s="40" t="str">
        <x:f>IF('迁盟总表'!J293="","",'迁盟总表'!J293)</x:f>
      </x:c>
      <x:c r="K99" s="40" t="str">
        <x:f>IF('迁盟总表'!K293="","",'迁盟总表'!K293)</x:f>
      </x:c>
      <x:c r="L99" s="40" t="str">
        <x:f>IF('迁盟总表'!L293="","",'迁盟总表'!L293)</x:f>
      </x:c>
      <x:c r="M99" s="40" t="str">
        <x:f>IF('迁盟总表'!M293="","",'迁盟总表'!M293)</x:f>
      </x:c>
      <x:c r="N99" s="40" t="str">
        <x:f>IF('迁盟总表'!N293="","",'迁盟总表'!N293)</x:f>
      </x:c>
      <x:c r="O99" s="40" t="str">
        <x:f>IF('迁盟总表'!O293="","",'迁盟总表'!O293)</x:f>
      </x:c>
      <x:c r="P99" s="40" t="str">
        <x:f>IF('迁盟总表'!P293="","",'迁盟总表'!P293)</x:f>
      </x:c>
      <x:c r="Q99" s="43" t="n">
        <x:f>IF('迁盟总表'!X293="","",'迁盟总表'!X293)</x:f>
        <x:v>15.1</x:v>
      </x:c>
      <x:c r="R99" s="27" t="n">
        <x:f>IF('迁盟总表'!Y293="","",'迁盟总表'!Y293)</x:f>
        <x:v>334</x:v>
      </x:c>
      <x:c r="S99" s="55" t="str">
        <x:f>IF('迁盟总表'!Z293="","",'迁盟总表'!Z293)</x:f>
        <x:v>保持当前盟，减少迁移成本</x:v>
      </x:c>
    </x:row>
    <x:row r="100" ht="20" customHeight="1">
      <x:c r="A100" s="26" t="str">
        <x:f>IF('迁盟总表'!B294="","",'迁盟总表'!B294)</x:f>
        <x:v>天官赐福小雪雪</x:v>
      </x:c>
      <x:c r="B100" s="27" t="str">
        <x:f>IF('迁盟总表'!C294="","",'迁盟总表'!C294)</x:f>
        <x:v>玲珑</x:v>
      </x:c>
      <x:c r="C100" s="64" t="str">
        <x:f>IF('迁盟总表'!D294="","",'迁盟总表'!D294)</x:f>
        <x:v>玲珑</x:v>
      </x:c>
      <x:c r="D100" s="27" t="str">
        <x:f>IF('迁盟总表'!E294="","",'迁盟总表'!E294)</x:f>
        <x:v>留盟</x:v>
      </x:c>
      <x:c r="E100" s="40" t="str">
        <x:f>IF('迁盟总表'!Q294="","",'迁盟总表'!Q294)</x:f>
      </x:c>
      <x:c r="F100" s="40" t="n">
        <x:f>IF('迁盟总表'!R294="","",'迁盟总表'!R294)</x:f>
        <x:v>39874451</x:v>
      </x:c>
      <x:c r="G100" s="40" t="n">
        <x:f>IF('迁盟总表'!S294="","",'迁盟总表'!S294)</x:f>
        <x:v>66400833</x:v>
      </x:c>
      <x:c r="H100" s="37" t="str">
        <x:f>IF('迁盟总表'!H294="","",'迁盟总表'!H294)</x:f>
      </x:c>
      <x:c r="I100" s="37" t="str">
        <x:f>IF('迁盟总表'!I294="","",'迁盟总表'!I294)</x:f>
      </x:c>
      <x:c r="J100" s="40" t="str">
        <x:f>IF('迁盟总表'!J294="","",'迁盟总表'!J294)</x:f>
      </x:c>
      <x:c r="K100" s="40" t="str">
        <x:f>IF('迁盟总表'!K294="","",'迁盟总表'!K294)</x:f>
      </x:c>
      <x:c r="L100" s="40" t="str">
        <x:f>IF('迁盟总表'!L294="","",'迁盟总表'!L294)</x:f>
      </x:c>
      <x:c r="M100" s="40" t="str">
        <x:f>IF('迁盟总表'!M294="","",'迁盟总表'!M294)</x:f>
      </x:c>
      <x:c r="N100" s="40" t="str">
        <x:f>IF('迁盟总表'!N294="","",'迁盟总表'!N294)</x:f>
      </x:c>
      <x:c r="O100" s="40" t="str">
        <x:f>IF('迁盟总表'!O294="","",'迁盟总表'!O294)</x:f>
      </x:c>
      <x:c r="P100" s="40" t="str">
        <x:f>IF('迁盟总表'!P294="","",'迁盟总表'!P294)</x:f>
      </x:c>
      <x:c r="Q100" s="43" t="n">
        <x:f>IF('迁盟总表'!X294="","",'迁盟总表'!X294)</x:f>
        <x:v>13.6</x:v>
      </x:c>
      <x:c r="R100" s="27" t="n">
        <x:f>IF('迁盟总表'!Y294="","",'迁盟总表'!Y294)</x:f>
        <x:v>336</x:v>
      </x:c>
      <x:c r="S100" s="55" t="str">
        <x:f>IF('迁盟总表'!Z294="","",'迁盟总表'!Z294)</x:f>
        <x:v>保持当前盟，减少迁移成本</x:v>
      </x:c>
    </x:row>
    <x:row r="101" ht="20" customHeight="1">
      <x:c r="A101" s="29" t="str">
        <x:f>IF('迁盟总表'!B295="","",'迁盟总表'!B295)</x:f>
        <x:v>云颠之间</x:v>
      </x:c>
      <x:c r="B101" s="30" t="str">
        <x:f>IF('迁盟总表'!C295="","",'迁盟总表'!C295)</x:f>
        <x:v>玲珑</x:v>
      </x:c>
      <x:c r="C101" s="65" t="str">
        <x:f>IF('迁盟总表'!D295="","",'迁盟总表'!D295)</x:f>
        <x:v>玲珑</x:v>
      </x:c>
      <x:c r="D101" s="30" t="str">
        <x:f>IF('迁盟总表'!E295="","",'迁盟总表'!E295)</x:f>
        <x:v>留盟</x:v>
      </x:c>
      <x:c r="E101" s="41" t="str">
        <x:f>IF('迁盟总表'!Q295="","",'迁盟总表'!Q295)</x:f>
      </x:c>
      <x:c r="F101" s="41" t="n">
        <x:f>IF('迁盟总表'!R295="","",'迁盟总表'!R295)</x:f>
        <x:v>39006889</x:v>
      </x:c>
      <x:c r="G101" s="41" t="n">
        <x:f>IF('迁盟总表'!S295="","",'迁盟总表'!S295)</x:f>
        <x:v>69203805</x:v>
      </x:c>
      <x:c r="H101" s="38" t="str">
        <x:f>IF('迁盟总表'!H295="","",'迁盟总表'!H295)</x:f>
      </x:c>
      <x:c r="I101" s="38" t="str">
        <x:f>IF('迁盟总表'!I295="","",'迁盟总表'!I295)</x:f>
      </x:c>
      <x:c r="J101" s="41" t="str">
        <x:f>IF('迁盟总表'!J295="","",'迁盟总表'!J295)</x:f>
      </x:c>
      <x:c r="K101" s="41" t="str">
        <x:f>IF('迁盟总表'!K295="","",'迁盟总表'!K295)</x:f>
      </x:c>
      <x:c r="L101" s="41" t="str">
        <x:f>IF('迁盟总表'!L295="","",'迁盟总表'!L295)</x:f>
      </x:c>
      <x:c r="M101" s="41" t="str">
        <x:f>IF('迁盟总表'!M295="","",'迁盟总表'!M295)</x:f>
      </x:c>
      <x:c r="N101" s="41" t="str">
        <x:f>IF('迁盟总表'!N295="","",'迁盟总表'!N295)</x:f>
      </x:c>
      <x:c r="O101" s="41" t="str">
        <x:f>IF('迁盟总表'!O295="","",'迁盟总表'!O295)</x:f>
      </x:c>
      <x:c r="P101" s="41" t="str">
        <x:f>IF('迁盟总表'!P295="","",'迁盟总表'!P295)</x:f>
      </x:c>
      <x:c r="Q101" s="44" t="n">
        <x:f>IF('迁盟总表'!X295="","",'迁盟总表'!X295)</x:f>
        <x:v>13.4</x:v>
      </x:c>
      <x:c r="R101" s="30" t="n">
        <x:f>IF('迁盟总表'!Y295="","",'迁盟总表'!Y295)</x:f>
        <x:v>338</x:v>
      </x:c>
      <x:c r="S101" s="56" t="str">
        <x:f>IF('迁盟总表'!Z295="","",'迁盟总表'!Z295)</x:f>
        <x:v>保持当前盟，减少迁移成本</x:v>
      </x:c>
    </x:row>
  </x:sheetData>
  <x:mergeCells>
    <x:mergeCell ref="A1:S1"/>
    <x:mergeCell ref="A2:S2"/>
  </x:mergeCells>
  <x:conditionalFormatting sqref="D5:D101">
    <x:cfRule type="containsText" dxfId="5" priority="1" operator="containsText" text="→"/>
  </x:conditionalFormatting>
  <x:pageMargins left="0.7" right="0.7" top="0.75" bottom="0.75" header="0.3" footer="0.3"/>
  <x:tableParts count="1">
    <x:tablePart xmlns:r="http://schemas.openxmlformats.org/officeDocument/2006/relationships" r:id="R1bb758693fee48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5" hidden="0" customWidth="1"/>
    <x:col min="5" max="5" width="16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1" hidden="0" customWidth="1"/>
    <x:col min="17" max="17" width="11" hidden="0" customWidth="1"/>
    <x:col min="18" max="18" width="10" hidden="0" customWidth="1"/>
    <x:col min="19" max="19" width="38" hidden="0" customWidth="1"/>
  </x:cols>
  <x:sheetData>
    <x:row r="1" ht="30" customHeight="1">
      <x:c r="A1" s="3" t="str">
        <x:v>燕云四盟｜97人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1" customHeight="1">
      <x:c r="A2" s="7" t="str">
        <x:v>第四盟：以当前燕云为底盘，接收容量平衡人员并保留预备力量。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2" customHeight="1">
      <x:c r="A4" s="13" t="str">
        <x:v>成员名称</x:v>
      </x:c>
      <x:c r="B4" s="13" t="str">
        <x:v>当前盟</x:v>
      </x:c>
      <x:c r="C4" s="13" t="str">
        <x:v>建议盟</x:v>
      </x:c>
      <x:c r="D4" s="13" t="str">
        <x:v>迁盟动作</x:v>
      </x:c>
      <x:c r="E4" s="13" t="str">
        <x:v>总功勋</x:v>
      </x:c>
      <x:c r="F4" s="13" t="str">
        <x:v>实力</x:v>
      </x:c>
      <x:c r="G4" s="13" t="str">
        <x:v>战力</x:v>
      </x:c>
      <x:c r="H4" s="13" t="str">
        <x:v>最高集结</x:v>
      </x:c>
      <x:c r="I4" s="13" t="str">
        <x:v>国家队集结</x:v>
      </x:c>
      <x:c r="J4" s="13" t="str">
        <x:v>步防</x:v>
      </x:c>
      <x:c r="K4" s="13" t="str">
        <x:v>步生</x:v>
      </x:c>
      <x:c r="L4" s="13" t="str">
        <x:v>骑攻</x:v>
      </x:c>
      <x:c r="M4" s="13" t="str">
        <x:v>骑破</x:v>
      </x:c>
      <x:c r="N4" s="13" t="str">
        <x:v>弓攻</x:v>
      </x:c>
      <x:c r="O4" s="13" t="str">
        <x:v>弓破</x:v>
      </x:c>
      <x:c r="P4" s="13" t="str">
        <x:v>六维和</x:v>
      </x:c>
      <x:c r="Q4" s="13" t="str">
        <x:v>战斗评分</x:v>
      </x:c>
      <x:c r="R4" s="13" t="str">
        <x:v>战斗排名</x:v>
      </x:c>
      <x:c r="S4" s="13" t="str">
        <x:v>分配理由</x:v>
      </x:c>
    </x:row>
    <x:row r="5" ht="20" customHeight="1">
      <x:c r="A5" s="23" t="str">
        <x:f>IF('迁盟总表'!B296="","",'迁盟总表'!B296)</x:f>
        <x:v>送你一朵小红花</x:v>
      </x:c>
      <x:c r="B5" s="24" t="str">
        <x:f>IF('迁盟总表'!C296="","",'迁盟总表'!C296)</x:f>
        <x:v>燕云</x:v>
      </x:c>
      <x:c r="C5" s="66" t="str">
        <x:f>IF('迁盟总表'!D296="","",'迁盟总表'!D296)</x:f>
        <x:v>燕云</x:v>
      </x:c>
      <x:c r="D5" s="24" t="str">
        <x:f>IF('迁盟总表'!E296="","",'迁盟总表'!E296)</x:f>
        <x:v>留盟</x:v>
      </x:c>
      <x:c r="E5" s="39" t="n">
        <x:f>IF('迁盟总表'!Q296="","",'迁盟总表'!Q296)</x:f>
        <x:v>1599036778</x:v>
      </x:c>
      <x:c r="F5" s="39" t="n">
        <x:f>IF('迁盟总表'!R296="","",'迁盟总表'!R296)</x:f>
        <x:v>94073800</x:v>
      </x:c>
      <x:c r="G5" s="39" t="n">
        <x:f>IF('迁盟总表'!S296="","",'迁盟总表'!S296)</x:f>
        <x:v>372703972</x:v>
      </x:c>
      <x:c r="H5" s="36" t="n">
        <x:f>IF('迁盟总表'!H296="","",'迁盟总表'!H296)</x:f>
        <x:v>28.8</x:v>
      </x:c>
      <x:c r="I5" s="36" t="n">
        <x:f>IF('迁盟总表'!I296="","",'迁盟总表'!I296)</x:f>
        <x:v>28.8</x:v>
      </x:c>
      <x:c r="J5" s="39" t="n">
        <x:f>IF('迁盟总表'!J296="","",'迁盟总表'!J296)</x:f>
        <x:v>805</x:v>
      </x:c>
      <x:c r="K5" s="39" t="n">
        <x:f>IF('迁盟总表'!K296="","",'迁盟总表'!K296)</x:f>
        <x:v>941</x:v>
      </x:c>
      <x:c r="L5" s="39" t="n">
        <x:f>IF('迁盟总表'!L296="","",'迁盟总表'!L296)</x:f>
        <x:v>680</x:v>
      </x:c>
      <x:c r="M5" s="39" t="n">
        <x:f>IF('迁盟总表'!M296="","",'迁盟总表'!M296)</x:f>
        <x:v>605</x:v>
      </x:c>
      <x:c r="N5" s="39" t="n">
        <x:f>IF('迁盟总表'!N296="","",'迁盟总表'!N296)</x:f>
        <x:v>721</x:v>
      </x:c>
      <x:c r="O5" s="39" t="n">
        <x:f>IF('迁盟总表'!O296="","",'迁盟总表'!O296)</x:f>
        <x:v>730</x:v>
      </x:c>
      <x:c r="P5" s="39" t="n">
        <x:f>IF('迁盟总表'!P296="","",'迁盟总表'!P296)</x:f>
        <x:v>4482</x:v>
      </x:c>
      <x:c r="Q5" s="42" t="n">
        <x:f>IF('迁盟总表'!X296="","",'迁盟总表'!X296)</x:f>
        <x:v>78.5</x:v>
      </x:c>
      <x:c r="R5" s="24" t="n">
        <x:f>IF('迁盟总表'!Y296="","",'迁盟总表'!Y296)</x:f>
        <x:v>52</x:v>
      </x:c>
      <x:c r="S5" s="54" t="str">
        <x:f>IF('迁盟总表'!Z296="","",'迁盟总表'!Z296)</x:f>
        <x:v>保持当前盟，减少迁移成本</x:v>
      </x:c>
    </x:row>
    <x:row r="6" ht="20" customHeight="1">
      <x:c r="A6" s="26" t="str">
        <x:f>IF('迁盟总表'!B297="","",'迁盟总表'!B297)</x:f>
        <x:v>洛伊宸</x:v>
      </x:c>
      <x:c r="B6" s="27" t="str">
        <x:f>IF('迁盟总表'!C297="","",'迁盟总表'!C297)</x:f>
        <x:v>燕云</x:v>
      </x:c>
      <x:c r="C6" s="67" t="str">
        <x:f>IF('迁盟总表'!D297="","",'迁盟总表'!D297)</x:f>
        <x:v>燕云</x:v>
      </x:c>
      <x:c r="D6" s="27" t="str">
        <x:f>IF('迁盟总表'!E297="","",'迁盟总表'!E297)</x:f>
        <x:v>留盟</x:v>
      </x:c>
      <x:c r="E6" s="40" t="n">
        <x:f>IF('迁盟总表'!Q297="","",'迁盟总表'!Q297)</x:f>
        <x:v>5263190808</x:v>
      </x:c>
      <x:c r="F6" s="40" t="n">
        <x:f>IF('迁盟总表'!R297="","",'迁盟总表'!R297)</x:f>
        <x:v>94717520</x:v>
      </x:c>
      <x:c r="G6" s="40" t="n">
        <x:f>IF('迁盟总表'!S297="","",'迁盟总表'!S297)</x:f>
        <x:v>293759388</x:v>
      </x:c>
      <x:c r="H6" s="37" t="n">
        <x:f>IF('迁盟总表'!H297="","",'迁盟总表'!H297)</x:f>
        <x:v>28.8</x:v>
      </x:c>
      <x:c r="I6" s="37" t="n">
        <x:f>IF('迁盟总表'!I297="","",'迁盟总表'!I297)</x:f>
        <x:v>28.8</x:v>
      </x:c>
      <x:c r="J6" s="40" t="n">
        <x:f>IF('迁盟总表'!J297="","",'迁盟总表'!J297)</x:f>
        <x:v>777</x:v>
      </x:c>
      <x:c r="K6" s="40" t="n">
        <x:f>IF('迁盟总表'!K297="","",'迁盟总表'!K297)</x:f>
        <x:v>914</x:v>
      </x:c>
      <x:c r="L6" s="40" t="n">
        <x:f>IF('迁盟总表'!L297="","",'迁盟总表'!L297)</x:f>
        <x:v>622</x:v>
      </x:c>
      <x:c r="M6" s="40" t="n">
        <x:f>IF('迁盟总表'!M297="","",'迁盟总表'!M297)</x:f>
        <x:v>509</x:v>
      </x:c>
      <x:c r="N6" s="40" t="n">
        <x:f>IF('迁盟总表'!N297="","",'迁盟总表'!N297)</x:f>
        <x:v>753</x:v>
      </x:c>
      <x:c r="O6" s="40" t="n">
        <x:f>IF('迁盟总表'!O297="","",'迁盟总表'!O297)</x:f>
        <x:v>711</x:v>
      </x:c>
      <x:c r="P6" s="40" t="n">
        <x:f>IF('迁盟总表'!P297="","",'迁盟总表'!P297)</x:f>
        <x:v>4286</x:v>
      </x:c>
      <x:c r="Q6" s="43" t="n">
        <x:f>IF('迁盟总表'!X297="","",'迁盟总表'!X297)</x:f>
        <x:v>78.1</x:v>
      </x:c>
      <x:c r="R6" s="27" t="n">
        <x:f>IF('迁盟总表'!Y297="","",'迁盟总表'!Y297)</x:f>
        <x:v>57</x:v>
      </x:c>
      <x:c r="S6" s="55" t="str">
        <x:f>IF('迁盟总表'!Z297="","",'迁盟总表'!Z297)</x:f>
        <x:v>保持当前盟，减少迁移成本</x:v>
      </x:c>
    </x:row>
    <x:row r="7" ht="20" customHeight="1">
      <x:c r="A7" s="26" t="str">
        <x:f>IF('迁盟总表'!B298="","",'迁盟总表'!B298)</x:f>
        <x:v>柴里柴气</x:v>
      </x:c>
      <x:c r="B7" s="27" t="str">
        <x:f>IF('迁盟总表'!C298="","",'迁盟总表'!C298)</x:f>
        <x:v>燕云</x:v>
      </x:c>
      <x:c r="C7" s="67" t="str">
        <x:f>IF('迁盟总表'!D298="","",'迁盟总表'!D298)</x:f>
        <x:v>燕云</x:v>
      </x:c>
      <x:c r="D7" s="27" t="str">
        <x:f>IF('迁盟总表'!E298="","",'迁盟总表'!E298)</x:f>
        <x:v>留盟</x:v>
      </x:c>
      <x:c r="E7" s="40" t="n">
        <x:f>IF('迁盟总表'!Q298="","",'迁盟总表'!Q298)</x:f>
        <x:v>2867693868</x:v>
      </x:c>
      <x:c r="F7" s="40" t="n">
        <x:f>IF('迁盟总表'!R298="","",'迁盟总表'!R298)</x:f>
        <x:v>90301001</x:v>
      </x:c>
      <x:c r="G7" s="40" t="n">
        <x:f>IF('迁盟总表'!S298="","",'迁盟总表'!S298)</x:f>
        <x:v>323002847</x:v>
      </x:c>
      <x:c r="H7" s="37" t="str">
        <x:f>IF('迁盟总表'!H298="","",'迁盟总表'!H298)</x:f>
      </x:c>
      <x:c r="I7" s="37" t="str">
        <x:f>IF('迁盟总表'!I298="","",'迁盟总表'!I298)</x:f>
      </x:c>
      <x:c r="J7" s="40" t="str">
        <x:f>IF('迁盟总表'!J298="","",'迁盟总表'!J298)</x:f>
      </x:c>
      <x:c r="K7" s="40" t="str">
        <x:f>IF('迁盟总表'!K298="","",'迁盟总表'!K298)</x:f>
      </x:c>
      <x:c r="L7" s="40" t="str">
        <x:f>IF('迁盟总表'!L298="","",'迁盟总表'!L298)</x:f>
      </x:c>
      <x:c r="M7" s="40" t="str">
        <x:f>IF('迁盟总表'!M298="","",'迁盟总表'!M298)</x:f>
      </x:c>
      <x:c r="N7" s="40" t="str">
        <x:f>IF('迁盟总表'!N298="","",'迁盟总表'!N298)</x:f>
      </x:c>
      <x:c r="O7" s="40" t="str">
        <x:f>IF('迁盟总表'!O298="","",'迁盟总表'!O298)</x:f>
      </x:c>
      <x:c r="P7" s="40" t="str">
        <x:f>IF('迁盟总表'!P298="","",'迁盟总表'!P298)</x:f>
      </x:c>
      <x:c r="Q7" s="43" t="n">
        <x:f>IF('迁盟总表'!X298="","",'迁盟总表'!X298)</x:f>
        <x:v>77.8</x:v>
      </x:c>
      <x:c r="R7" s="27" t="n">
        <x:f>IF('迁盟总表'!Y298="","",'迁盟总表'!Y298)</x:f>
        <x:v>60</x:v>
      </x:c>
      <x:c r="S7" s="55" t="str">
        <x:f>IF('迁盟总表'!Z298="","",'迁盟总表'!Z298)</x:f>
        <x:v>保持当前盟，减少迁移成本</x:v>
      </x:c>
    </x:row>
    <x:row r="8" ht="20" customHeight="1">
      <x:c r="A8" s="26" t="str">
        <x:f>IF('迁盟总表'!B299="","",'迁盟总表'!B299)</x:f>
        <x:v>榴芒不忙</x:v>
      </x:c>
      <x:c r="B8" s="27" t="str">
        <x:f>IF('迁盟总表'!C299="","",'迁盟总表'!C299)</x:f>
        <x:v>燕云</x:v>
      </x:c>
      <x:c r="C8" s="67" t="str">
        <x:f>IF('迁盟总表'!D299="","",'迁盟总表'!D299)</x:f>
        <x:v>燕云</x:v>
      </x:c>
      <x:c r="D8" s="27" t="str">
        <x:f>IF('迁盟总表'!E299="","",'迁盟总表'!E299)</x:f>
        <x:v>留盟</x:v>
      </x:c>
      <x:c r="E8" s="40" t="n">
        <x:f>IF('迁盟总表'!Q299="","",'迁盟总表'!Q299)</x:f>
        <x:v>6138877872</x:v>
      </x:c>
      <x:c r="F8" s="40" t="n">
        <x:f>IF('迁盟总表'!R299="","",'迁盟总表'!R299)</x:f>
        <x:v>89846513</x:v>
      </x:c>
      <x:c r="G8" s="40" t="n">
        <x:f>IF('迁盟总表'!S299="","",'迁盟总表'!S299)</x:f>
        <x:v>257519075</x:v>
      </x:c>
      <x:c r="H8" s="37" t="n">
        <x:f>IF('迁盟总表'!H299="","",'迁盟总表'!H299)</x:f>
        <x:v>28.8</x:v>
      </x:c>
      <x:c r="I8" s="37" t="n">
        <x:f>IF('迁盟总表'!I299="","",'迁盟总表'!I299)</x:f>
        <x:v>28.8</x:v>
      </x:c>
      <x:c r="J8" s="40" t="n">
        <x:f>IF('迁盟总表'!J299="","",'迁盟总表'!J299)</x:f>
        <x:v>842</x:v>
      </x:c>
      <x:c r="K8" s="40" t="n">
        <x:f>IF('迁盟总表'!K299="","",'迁盟总表'!K299)</x:f>
        <x:v>1017</x:v>
      </x:c>
      <x:c r="L8" s="40" t="n">
        <x:f>IF('迁盟总表'!L299="","",'迁盟总表'!L299)</x:f>
        <x:v>664</x:v>
      </x:c>
      <x:c r="M8" s="40" t="n">
        <x:f>IF('迁盟总表'!M299="","",'迁盟总表'!M299)</x:f>
        <x:v>572</x:v>
      </x:c>
      <x:c r="N8" s="40" t="n">
        <x:f>IF('迁盟总表'!N299="","",'迁盟总表'!N299)</x:f>
        <x:v>753</x:v>
      </x:c>
      <x:c r="O8" s="40" t="n">
        <x:f>IF('迁盟总表'!O299="","",'迁盟总表'!O299)</x:f>
        <x:v>825</x:v>
      </x:c>
      <x:c r="P8" s="40" t="n">
        <x:f>IF('迁盟总表'!P299="","",'迁盟总表'!P299)</x:f>
        <x:v>4673</x:v>
      </x:c>
      <x:c r="Q8" s="43" t="n">
        <x:f>IF('迁盟总表'!X299="","",'迁盟总表'!X299)</x:f>
        <x:v>76.6</x:v>
      </x:c>
      <x:c r="R8" s="27" t="n">
        <x:f>IF('迁盟总表'!Y299="","",'迁盟总表'!Y299)</x:f>
        <x:v>73</x:v>
      </x:c>
      <x:c r="S8" s="55" t="str">
        <x:f>IF('迁盟总表'!Z299="","",'迁盟总表'!Z299)</x:f>
        <x:v>保持当前盟，减少迁移成本</x:v>
      </x:c>
    </x:row>
    <x:row r="9" ht="20" customHeight="1">
      <x:c r="A9" s="26" t="str">
        <x:f>IF('迁盟总表'!B300="","",'迁盟总表'!B300)</x:f>
        <x:v>太阳系的小蚂蚁</x:v>
      </x:c>
      <x:c r="B9" s="27" t="str">
        <x:f>IF('迁盟总表'!C300="","",'迁盟总表'!C300)</x:f>
        <x:v>燕云</x:v>
      </x:c>
      <x:c r="C9" s="67" t="str">
        <x:f>IF('迁盟总表'!D300="","",'迁盟总表'!D300)</x:f>
        <x:v>燕云</x:v>
      </x:c>
      <x:c r="D9" s="27" t="str">
        <x:f>IF('迁盟总表'!E300="","",'迁盟总表'!E300)</x:f>
        <x:v>留盟</x:v>
      </x:c>
      <x:c r="E9" s="40" t="n">
        <x:f>IF('迁盟总表'!Q300="","",'迁盟总表'!Q300)</x:f>
        <x:v>3198170696</x:v>
      </x:c>
      <x:c r="F9" s="40" t="n">
        <x:f>IF('迁盟总表'!R300="","",'迁盟总表'!R300)</x:f>
        <x:v>97864952</x:v>
      </x:c>
      <x:c r="G9" s="40" t="n">
        <x:f>IF('迁盟总表'!S300="","",'迁盟总表'!S300)</x:f>
        <x:v>189185398</x:v>
      </x:c>
      <x:c r="H9" s="37" t="n">
        <x:f>IF('迁盟总表'!H300="","",'迁盟总表'!H300)</x:f>
        <x:v>28.78</x:v>
      </x:c>
      <x:c r="I9" s="37" t="n">
        <x:f>IF('迁盟总表'!I300="","",'迁盟总表'!I300)</x:f>
        <x:v>28.78</x:v>
      </x:c>
      <x:c r="J9" s="40" t="n">
        <x:f>IF('迁盟总表'!J300="","",'迁盟总表'!J300)</x:f>
        <x:v>767</x:v>
      </x:c>
      <x:c r="K9" s="40" t="n">
        <x:f>IF('迁盟总表'!K300="","",'迁盟总表'!K300)</x:f>
        <x:v>984</x:v>
      </x:c>
      <x:c r="L9" s="40" t="n">
        <x:f>IF('迁盟总表'!L300="","",'迁盟总表'!L300)</x:f>
        <x:v>688</x:v>
      </x:c>
      <x:c r="M9" s="40" t="n">
        <x:f>IF('迁盟总表'!M300="","",'迁盟总表'!M300)</x:f>
        <x:v>830</x:v>
      </x:c>
      <x:c r="N9" s="40" t="n">
        <x:f>IF('迁盟总表'!N300="","",'迁盟总表'!N300)</x:f>
        <x:v>730</x:v>
      </x:c>
      <x:c r="O9" s="40" t="n">
        <x:f>IF('迁盟总表'!O300="","",'迁盟总表'!O300)</x:f>
        <x:v>890</x:v>
      </x:c>
      <x:c r="P9" s="40" t="n">
        <x:f>IF('迁盟总表'!P300="","",'迁盟总表'!P300)</x:f>
        <x:v>4889</x:v>
      </x:c>
      <x:c r="Q9" s="43" t="n">
        <x:f>IF('迁盟总表'!X300="","",'迁盟总表'!X300)</x:f>
        <x:v>75.9</x:v>
      </x:c>
      <x:c r="R9" s="27" t="n">
        <x:f>IF('迁盟总表'!Y300="","",'迁盟总表'!Y300)</x:f>
        <x:v>86</x:v>
      </x:c>
      <x:c r="S9" s="55" t="str">
        <x:f>IF('迁盟总表'!Z300="","",'迁盟总表'!Z300)</x:f>
        <x:v>保持当前盟，减少迁移成本</x:v>
      </x:c>
    </x:row>
    <x:row r="10" ht="20" customHeight="1">
      <x:c r="A10" s="26" t="str">
        <x:f>IF('迁盟总表'!B301="","",'迁盟总表'!B301)</x:f>
        <x:v>已禁言</x:v>
      </x:c>
      <x:c r="B10" s="27" t="str">
        <x:f>IF('迁盟总表'!C301="","",'迁盟总表'!C301)</x:f>
        <x:v>燕云</x:v>
      </x:c>
      <x:c r="C10" s="67" t="str">
        <x:f>IF('迁盟总表'!D301="","",'迁盟总表'!D301)</x:f>
        <x:v>燕云</x:v>
      </x:c>
      <x:c r="D10" s="27" t="str">
        <x:f>IF('迁盟总表'!E301="","",'迁盟总表'!E301)</x:f>
        <x:v>留盟</x:v>
      </x:c>
      <x:c r="E10" s="40" t="n">
        <x:f>IF('迁盟总表'!Q301="","",'迁盟总表'!Q301)</x:f>
        <x:v>3805050278</x:v>
      </x:c>
      <x:c r="F10" s="40" t="n">
        <x:f>IF('迁盟总表'!R301="","",'迁盟总表'!R301)</x:f>
        <x:v>87246477</x:v>
      </x:c>
      <x:c r="G10" s="40" t="n">
        <x:f>IF('迁盟总表'!S301="","",'迁盟总表'!S301)</x:f>
        <x:v>268996723</x:v>
      </x:c>
      <x:c r="H10" s="37" t="str">
        <x:f>IF('迁盟总表'!H301="","",'迁盟总表'!H301)</x:f>
      </x:c>
      <x:c r="I10" s="37" t="str">
        <x:f>IF('迁盟总表'!I301="","",'迁盟总表'!I301)</x:f>
      </x:c>
      <x:c r="J10" s="40" t="str">
        <x:f>IF('迁盟总表'!J301="","",'迁盟总表'!J301)</x:f>
      </x:c>
      <x:c r="K10" s="40" t="str">
        <x:f>IF('迁盟总表'!K301="","",'迁盟总表'!K301)</x:f>
      </x:c>
      <x:c r="L10" s="40" t="str">
        <x:f>IF('迁盟总表'!L301="","",'迁盟总表'!L301)</x:f>
      </x:c>
      <x:c r="M10" s="40" t="str">
        <x:f>IF('迁盟总表'!M301="","",'迁盟总表'!M301)</x:f>
      </x:c>
      <x:c r="N10" s="40" t="str">
        <x:f>IF('迁盟总表'!N301="","",'迁盟总表'!N301)</x:f>
      </x:c>
      <x:c r="O10" s="40" t="str">
        <x:f>IF('迁盟总表'!O301="","",'迁盟总表'!O301)</x:f>
      </x:c>
      <x:c r="P10" s="40" t="str">
        <x:f>IF('迁盟总表'!P301="","",'迁盟总表'!P301)</x:f>
      </x:c>
      <x:c r="Q10" s="43" t="n">
        <x:f>IF('迁盟总表'!X301="","",'迁盟总表'!X301)</x:f>
        <x:v>75.7</x:v>
      </x:c>
      <x:c r="R10" s="27" t="n">
        <x:f>IF('迁盟总表'!Y301="","",'迁盟总表'!Y301)</x:f>
        <x:v>92</x:v>
      </x:c>
      <x:c r="S10" s="55" t="str">
        <x:f>IF('迁盟总表'!Z301="","",'迁盟总表'!Z301)</x:f>
        <x:v>保持当前盟，减少迁移成本</x:v>
      </x:c>
    </x:row>
    <x:row r="11" ht="20" customHeight="1">
      <x:c r="A11" s="26" t="str">
        <x:f>IF('迁盟总表'!B302="","",'迁盟总表'!B302)</x:f>
        <x:v>归墟彼岸摘桃花</x:v>
      </x:c>
      <x:c r="B11" s="27" t="str">
        <x:f>IF('迁盟总表'!C302="","",'迁盟总表'!C302)</x:f>
        <x:v>燕云</x:v>
      </x:c>
      <x:c r="C11" s="67" t="str">
        <x:f>IF('迁盟总表'!D302="","",'迁盟总表'!D302)</x:f>
        <x:v>燕云</x:v>
      </x:c>
      <x:c r="D11" s="27" t="str">
        <x:f>IF('迁盟总表'!E302="","",'迁盟总表'!E302)</x:f>
        <x:v>留盟</x:v>
      </x:c>
      <x:c r="E11" s="40" t="n">
        <x:f>IF('迁盟总表'!Q302="","",'迁盟总表'!Q302)</x:f>
        <x:v>5783644508</x:v>
      </x:c>
      <x:c r="F11" s="40" t="n">
        <x:f>IF('迁盟总表'!R302="","",'迁盟总表'!R302)</x:f>
        <x:v>90754494</x:v>
      </x:c>
      <x:c r="G11" s="40" t="n">
        <x:f>IF('迁盟总表'!S302="","",'迁盟总表'!S302)</x:f>
        <x:v>286859933</x:v>
      </x:c>
      <x:c r="H11" s="37" t="n">
        <x:f>IF('迁盟总表'!H302="","",'迁盟总表'!H302)</x:f>
        <x:v>24.4</x:v>
      </x:c>
      <x:c r="I11" s="37" t="n">
        <x:f>IF('迁盟总表'!I302="","",'迁盟总表'!I302)</x:f>
        <x:v>24.4</x:v>
      </x:c>
      <x:c r="J11" s="40" t="n">
        <x:f>IF('迁盟总表'!J302="","",'迁盟总表'!J302)</x:f>
        <x:v>508</x:v>
      </x:c>
      <x:c r="K11" s="40" t="n">
        <x:f>IF('迁盟总表'!K302="","",'迁盟总表'!K302)</x:f>
        <x:v>605</x:v>
      </x:c>
      <x:c r="L11" s="40" t="n">
        <x:f>IF('迁盟总表'!L302="","",'迁盟总表'!L302)</x:f>
        <x:v>584</x:v>
      </x:c>
      <x:c r="M11" s="40" t="n">
        <x:f>IF('迁盟总表'!M302="","",'迁盟总表'!M302)</x:f>
        <x:v>502</x:v>
      </x:c>
      <x:c r="N11" s="40" t="n">
        <x:f>IF('迁盟总表'!N302="","",'迁盟总表'!N302)</x:f>
        <x:v>646</x:v>
      </x:c>
      <x:c r="O11" s="40" t="n">
        <x:f>IF('迁盟总表'!O302="","",'迁盟总表'!O302)</x:f>
        <x:v>580</x:v>
      </x:c>
      <x:c r="P11" s="40" t="n">
        <x:f>IF('迁盟总表'!P302="","",'迁盟总表'!P302)</x:f>
        <x:v>3425</x:v>
      </x:c>
      <x:c r="Q11" s="43" t="n">
        <x:f>IF('迁盟总表'!X302="","",'迁盟总表'!X302)</x:f>
        <x:v>75.7</x:v>
      </x:c>
      <x:c r="R11" s="27" t="n">
        <x:f>IF('迁盟总表'!Y302="","",'迁盟总表'!Y302)</x:f>
        <x:v>92</x:v>
      </x:c>
      <x:c r="S11" s="55" t="str">
        <x:f>IF('迁盟总表'!Z302="","",'迁盟总表'!Z302)</x:f>
        <x:v>保持当前盟，减少迁移成本</x:v>
      </x:c>
    </x:row>
    <x:row r="12" ht="20" customHeight="1">
      <x:c r="A12" s="26" t="str">
        <x:f>IF('迁盟总表'!B303="","",'迁盟总表'!B303)</x:f>
        <x:v>温酒叙平生</x:v>
      </x:c>
      <x:c r="B12" s="27" t="str">
        <x:f>IF('迁盟总表'!C303="","",'迁盟总表'!C303)</x:f>
        <x:v>燕云</x:v>
      </x:c>
      <x:c r="C12" s="67" t="str">
        <x:f>IF('迁盟总表'!D303="","",'迁盟总表'!D303)</x:f>
        <x:v>燕云</x:v>
      </x:c>
      <x:c r="D12" s="27" t="str">
        <x:f>IF('迁盟总表'!E303="","",'迁盟总表'!E303)</x:f>
        <x:v>留盟</x:v>
      </x:c>
      <x:c r="E12" s="40" t="n">
        <x:f>IF('迁盟总表'!Q303="","",'迁盟总表'!Q303)</x:f>
        <x:v>3422383554</x:v>
      </x:c>
      <x:c r="F12" s="40" t="n">
        <x:f>IF('迁盟总表'!R303="","",'迁盟总表'!R303)</x:f>
        <x:v>84736773</x:v>
      </x:c>
      <x:c r="G12" s="40" t="n">
        <x:f>IF('迁盟总表'!S303="","",'迁盟总表'!S303)</x:f>
        <x:v>201045151</x:v>
      </x:c>
      <x:c r="H12" s="37" t="str">
        <x:f>IF('迁盟总表'!H303="","",'迁盟总表'!H303)</x:f>
      </x:c>
      <x:c r="I12" s="37" t="str">
        <x:f>IF('迁盟总表'!I303="","",'迁盟总表'!I303)</x:f>
      </x:c>
      <x:c r="J12" s="40" t="str">
        <x:f>IF('迁盟总表'!J303="","",'迁盟总表'!J303)</x:f>
      </x:c>
      <x:c r="K12" s="40" t="str">
        <x:f>IF('迁盟总表'!K303="","",'迁盟总表'!K303)</x:f>
      </x:c>
      <x:c r="L12" s="40" t="str">
        <x:f>IF('迁盟总表'!L303="","",'迁盟总表'!L303)</x:f>
      </x:c>
      <x:c r="M12" s="40" t="str">
        <x:f>IF('迁盟总表'!M303="","",'迁盟总表'!M303)</x:f>
      </x:c>
      <x:c r="N12" s="40" t="str">
        <x:f>IF('迁盟总表'!N303="","",'迁盟总表'!N303)</x:f>
      </x:c>
      <x:c r="O12" s="40" t="str">
        <x:f>IF('迁盟总表'!O303="","",'迁盟总表'!O303)</x:f>
      </x:c>
      <x:c r="P12" s="40" t="str">
        <x:f>IF('迁盟总表'!P303="","",'迁盟总表'!P303)</x:f>
      </x:c>
      <x:c r="Q12" s="43" t="n">
        <x:f>IF('迁盟总表'!X303="","",'迁盟总表'!X303)</x:f>
        <x:v>72.6</x:v>
      </x:c>
      <x:c r="R12" s="27" t="n">
        <x:f>IF('迁盟总表'!Y303="","",'迁盟总表'!Y303)</x:f>
        <x:v>151</x:v>
      </x:c>
      <x:c r="S12" s="55" t="str">
        <x:f>IF('迁盟总表'!Z303="","",'迁盟总表'!Z303)</x:f>
        <x:v>保持当前盟，减少迁移成本</x:v>
      </x:c>
    </x:row>
    <x:row r="13" ht="20" customHeight="1">
      <x:c r="A13" s="26" t="str">
        <x:f>IF('迁盟总表'!B304="","",'迁盟总表'!B304)</x:f>
        <x:v>尼古拉斯卢波波</x:v>
      </x:c>
      <x:c r="B13" s="27" t="str">
        <x:f>IF('迁盟总表'!C304="","",'迁盟总表'!C304)</x:f>
        <x:v>燕云</x:v>
      </x:c>
      <x:c r="C13" s="67" t="str">
        <x:f>IF('迁盟总表'!D304="","",'迁盟总表'!D304)</x:f>
        <x:v>燕云</x:v>
      </x:c>
      <x:c r="D13" s="27" t="str">
        <x:f>IF('迁盟总表'!E304="","",'迁盟总表'!E304)</x:f>
        <x:v>留盟</x:v>
      </x:c>
      <x:c r="E13" s="40" t="n">
        <x:f>IF('迁盟总表'!Q304="","",'迁盟总表'!Q304)</x:f>
        <x:v>4339597274</x:v>
      </x:c>
      <x:c r="F13" s="40" t="n">
        <x:f>IF('迁盟总表'!R304="","",'迁盟总表'!R304)</x:f>
        <x:v>82317814</x:v>
      </x:c>
      <x:c r="G13" s="40" t="n">
        <x:f>IF('迁盟总表'!S304="","",'迁盟总表'!S304)</x:f>
        <x:v>236780728</x:v>
      </x:c>
      <x:c r="H13" s="37" t="n">
        <x:f>IF('迁盟总表'!H304="","",'迁盟总表'!H304)</x:f>
        <x:v>28.8</x:v>
      </x:c>
      <x:c r="I13" s="37" t="n">
        <x:f>IF('迁盟总表'!I304="","",'迁盟总表'!I304)</x:f>
        <x:v>28.8</x:v>
      </x:c>
      <x:c r="J13" s="40" t="n">
        <x:f>IF('迁盟总表'!J304="","",'迁盟总表'!J304)</x:f>
        <x:v>726</x:v>
      </x:c>
      <x:c r="K13" s="40" t="n">
        <x:f>IF('迁盟总表'!K304="","",'迁盟总表'!K304)</x:f>
        <x:v>878</x:v>
      </x:c>
      <x:c r="L13" s="40" t="n">
        <x:f>IF('迁盟总表'!L304="","",'迁盟总表'!L304)</x:f>
        <x:v>624</x:v>
      </x:c>
      <x:c r="M13" s="40" t="n">
        <x:f>IF('迁盟总表'!M304="","",'迁盟总表'!M304)</x:f>
        <x:v>431</x:v>
      </x:c>
      <x:c r="N13" s="40" t="n">
        <x:f>IF('迁盟总表'!N304="","",'迁盟总表'!N304)</x:f>
        <x:v>677</x:v>
      </x:c>
      <x:c r="O13" s="40" t="n">
        <x:f>IF('迁盟总表'!O304="","",'迁盟总表'!O304)</x:f>
        <x:v>721</x:v>
      </x:c>
      <x:c r="P13" s="40" t="n">
        <x:f>IF('迁盟总表'!P304="","",'迁盟总表'!P304)</x:f>
        <x:v>4057</x:v>
      </x:c>
      <x:c r="Q13" s="43" t="n">
        <x:f>IF('迁盟总表'!X304="","",'迁盟总表'!X304)</x:f>
        <x:v>72.5</x:v>
      </x:c>
      <x:c r="R13" s="27" t="n">
        <x:f>IF('迁盟总表'!Y304="","",'迁盟总表'!Y304)</x:f>
        <x:v>152</x:v>
      </x:c>
      <x:c r="S13" s="55" t="str">
        <x:f>IF('迁盟总表'!Z304="","",'迁盟总表'!Z304)</x:f>
        <x:v>保持当前盟，减少迁移成本</x:v>
      </x:c>
    </x:row>
    <x:row r="14" ht="20" customHeight="1">
      <x:c r="A14" s="26" t="str">
        <x:f>IF('迁盟总表'!B305="","",'迁盟总表'!B305)</x:f>
        <x:v>小树叶</x:v>
      </x:c>
      <x:c r="B14" s="27" t="str">
        <x:f>IF('迁盟总表'!C305="","",'迁盟总表'!C305)</x:f>
        <x:v>燕云</x:v>
      </x:c>
      <x:c r="C14" s="67" t="str">
        <x:f>IF('迁盟总表'!D305="","",'迁盟总表'!D305)</x:f>
        <x:v>燕云</x:v>
      </x:c>
      <x:c r="D14" s="27" t="str">
        <x:f>IF('迁盟总表'!E305="","",'迁盟总表'!E305)</x:f>
        <x:v>留盟</x:v>
      </x:c>
      <x:c r="E14" s="40" t="n">
        <x:f>IF('迁盟总表'!Q305="","",'迁盟总表'!Q305)</x:f>
        <x:v>310866074</x:v>
      </x:c>
      <x:c r="F14" s="40" t="n">
        <x:f>IF('迁盟总表'!R305="","",'迁盟总表'!R305)</x:f>
        <x:v>82152627</x:v>
      </x:c>
      <x:c r="G14" s="40" t="n">
        <x:f>IF('迁盟总表'!S305="","",'迁盟总表'!S305)</x:f>
        <x:v>341983944</x:v>
      </x:c>
      <x:c r="H14" s="37" t="str">
        <x:f>IF('迁盟总表'!H305="","",'迁盟总表'!H305)</x:f>
      </x:c>
      <x:c r="I14" s="37" t="str">
        <x:f>IF('迁盟总表'!I305="","",'迁盟总表'!I305)</x:f>
      </x:c>
      <x:c r="J14" s="40" t="str">
        <x:f>IF('迁盟总表'!J305="","",'迁盟总表'!J305)</x:f>
      </x:c>
      <x:c r="K14" s="40" t="str">
        <x:f>IF('迁盟总表'!K305="","",'迁盟总表'!K305)</x:f>
      </x:c>
      <x:c r="L14" s="40" t="str">
        <x:f>IF('迁盟总表'!L305="","",'迁盟总表'!L305)</x:f>
      </x:c>
      <x:c r="M14" s="40" t="str">
        <x:f>IF('迁盟总表'!M305="","",'迁盟总表'!M305)</x:f>
      </x:c>
      <x:c r="N14" s="40" t="str">
        <x:f>IF('迁盟总表'!N305="","",'迁盟总表'!N305)</x:f>
      </x:c>
      <x:c r="O14" s="40" t="str">
        <x:f>IF('迁盟总表'!O305="","",'迁盟总表'!O305)</x:f>
      </x:c>
      <x:c r="P14" s="40" t="str">
        <x:f>IF('迁盟总表'!P305="","",'迁盟总表'!P305)</x:f>
      </x:c>
      <x:c r="Q14" s="43" t="n">
        <x:f>IF('迁盟总表'!X305="","",'迁盟总表'!X305)</x:f>
        <x:v>71.9</x:v>
      </x:c>
      <x:c r="R14" s="27" t="n">
        <x:f>IF('迁盟总表'!Y305="","",'迁盟总表'!Y305)</x:f>
        <x:v>168</x:v>
      </x:c>
      <x:c r="S14" s="55" t="str">
        <x:f>IF('迁盟总表'!Z305="","",'迁盟总表'!Z305)</x:f>
        <x:v>保持当前盟，减少迁移成本</x:v>
      </x:c>
    </x:row>
    <x:row r="15" ht="20" customHeight="1">
      <x:c r="A15" s="26" t="str">
        <x:f>IF('迁盟总表'!B306="","",'迁盟总表'!B306)</x:f>
        <x:v>听海眠夏</x:v>
      </x:c>
      <x:c r="B15" s="27" t="str">
        <x:f>IF('迁盟总表'!C306="","",'迁盟总表'!C306)</x:f>
        <x:v>燕云</x:v>
      </x:c>
      <x:c r="C15" s="67" t="str">
        <x:f>IF('迁盟总表'!D306="","",'迁盟总表'!D306)</x:f>
        <x:v>燕云</x:v>
      </x:c>
      <x:c r="D15" s="27" t="str">
        <x:f>IF('迁盟总表'!E306="","",'迁盟总表'!E306)</x:f>
        <x:v>留盟</x:v>
      </x:c>
      <x:c r="E15" s="40" t="n">
        <x:f>IF('迁盟总表'!Q306="","",'迁盟总表'!Q306)</x:f>
        <x:v>4939013516</x:v>
      </x:c>
      <x:c r="F15" s="40" t="n">
        <x:f>IF('迁盟总表'!R306="","",'迁盟总表'!R306)</x:f>
        <x:v>89049249</x:v>
      </x:c>
      <x:c r="G15" s="40" t="n">
        <x:f>IF('迁盟总表'!S306="","",'迁盟总表'!S306)</x:f>
        <x:v>143873867</x:v>
      </x:c>
      <x:c r="H15" s="37" t="n">
        <x:f>IF('迁盟总表'!H306="","",'迁盟总表'!H306)</x:f>
        <x:v>25.4</x:v>
      </x:c>
      <x:c r="I15" s="37" t="n">
        <x:f>IF('迁盟总表'!I306="","",'迁盟总表'!I306)</x:f>
        <x:v>25.4</x:v>
      </x:c>
      <x:c r="J15" s="40" t="n">
        <x:f>IF('迁盟总表'!J306="","",'迁盟总表'!J306)</x:f>
        <x:v>665</x:v>
      </x:c>
      <x:c r="K15" s="40" t="n">
        <x:f>IF('迁盟总表'!K306="","",'迁盟总表'!K306)</x:f>
        <x:v>900</x:v>
      </x:c>
      <x:c r="L15" s="40" t="n">
        <x:f>IF('迁盟总表'!L306="","",'迁盟总表'!L306)</x:f>
        <x:v>525</x:v>
      </x:c>
      <x:c r="M15" s="40" t="n">
        <x:f>IF('迁盟总表'!M306="","",'迁盟总表'!M306)</x:f>
        <x:v>545</x:v>
      </x:c>
      <x:c r="N15" s="40" t="n">
        <x:f>IF('迁盟总表'!N306="","",'迁盟总表'!N306)</x:f>
        <x:v>636</x:v>
      </x:c>
      <x:c r="O15" s="40" t="n">
        <x:f>IF('迁盟总表'!O306="","",'迁盟总表'!O306)</x:f>
        <x:v>829</x:v>
      </x:c>
      <x:c r="P15" s="40" t="n">
        <x:f>IF('迁盟总表'!P306="","",'迁盟总表'!P306)</x:f>
        <x:v>4100</x:v>
      </x:c>
      <x:c r="Q15" s="43" t="n">
        <x:f>IF('迁盟总表'!X306="","",'迁盟总表'!X306)</x:f>
        <x:v>71.8</x:v>
      </x:c>
      <x:c r="R15" s="27" t="n">
        <x:f>IF('迁盟总表'!Y306="","",'迁盟总表'!Y306)</x:f>
        <x:v>170</x:v>
      </x:c>
      <x:c r="S15" s="55" t="str">
        <x:f>IF('迁盟总表'!Z306="","",'迁盟总表'!Z306)</x:f>
        <x:v>保持当前盟，减少迁移成本</x:v>
      </x:c>
    </x:row>
    <x:row r="16" ht="20" customHeight="1">
      <x:c r="A16" s="26" t="str">
        <x:f>IF('迁盟总表'!B307="","",'迁盟总表'!B307)</x:f>
        <x:v>星河里的小太阳</x:v>
      </x:c>
      <x:c r="B16" s="27" t="str">
        <x:f>IF('迁盟总表'!C307="","",'迁盟总表'!C307)</x:f>
        <x:v>燕云</x:v>
      </x:c>
      <x:c r="C16" s="67" t="str">
        <x:f>IF('迁盟总表'!D307="","",'迁盟总表'!D307)</x:f>
        <x:v>燕云</x:v>
      </x:c>
      <x:c r="D16" s="27" t="str">
        <x:f>IF('迁盟总表'!E307="","",'迁盟总表'!E307)</x:f>
        <x:v>留盟</x:v>
      </x:c>
      <x:c r="E16" s="40" t="n">
        <x:f>IF('迁盟总表'!Q307="","",'迁盟总表'!Q307)</x:f>
        <x:v>6272912214</x:v>
      </x:c>
      <x:c r="F16" s="40" t="n">
        <x:f>IF('迁盟总表'!R307="","",'迁盟总表'!R307)</x:f>
        <x:v>76292914</x:v>
      </x:c>
      <x:c r="G16" s="40" t="n">
        <x:f>IF('迁盟总表'!S307="","",'迁盟总表'!S307)</x:f>
        <x:v>254285255</x:v>
      </x:c>
      <x:c r="H16" s="37" t="n">
        <x:f>IF('迁盟总表'!H307="","",'迁盟总表'!H307)</x:f>
        <x:v>28.8</x:v>
      </x:c>
      <x:c r="I16" s="37" t="n">
        <x:f>IF('迁盟总表'!I307="","",'迁盟总表'!I307)</x:f>
        <x:v>28.8</x:v>
      </x:c>
      <x:c r="J16" s="40" t="n">
        <x:f>IF('迁盟总表'!J307="","",'迁盟总表'!J307)</x:f>
        <x:v>694</x:v>
      </x:c>
      <x:c r="K16" s="40" t="n">
        <x:f>IF('迁盟总表'!K307="","",'迁盟总表'!K307)</x:f>
        <x:v>825</x:v>
      </x:c>
      <x:c r="L16" s="40" t="n">
        <x:f>IF('迁盟总表'!L307="","",'迁盟总表'!L307)</x:f>
        <x:v>561</x:v>
      </x:c>
      <x:c r="M16" s="40" t="n">
        <x:f>IF('迁盟总表'!M307="","",'迁盟总表'!M307)</x:f>
        <x:v>338</x:v>
      </x:c>
      <x:c r="N16" s="40" t="n">
        <x:f>IF('迁盟总表'!N307="","",'迁盟总表'!N307)</x:f>
        <x:v>710</x:v>
      </x:c>
      <x:c r="O16" s="40" t="n">
        <x:f>IF('迁盟总表'!O307="","",'迁盟总表'!O307)</x:f>
        <x:v>608</x:v>
      </x:c>
      <x:c r="P16" s="40" t="n">
        <x:f>IF('迁盟总表'!P307="","",'迁盟总表'!P307)</x:f>
        <x:v>3736</x:v>
      </x:c>
      <x:c r="Q16" s="43" t="n">
        <x:f>IF('迁盟总表'!X307="","",'迁盟总表'!X307)</x:f>
        <x:v>71.6</x:v>
      </x:c>
      <x:c r="R16" s="27" t="n">
        <x:f>IF('迁盟总表'!Y307="","",'迁盟总表'!Y307)</x:f>
        <x:v>174</x:v>
      </x:c>
      <x:c r="S16" s="55" t="str">
        <x:f>IF('迁盟总表'!Z307="","",'迁盟总表'!Z307)</x:f>
        <x:v>保持当前盟，减少迁移成本</x:v>
      </x:c>
    </x:row>
    <x:row r="17" ht="20" customHeight="1">
      <x:c r="A17" s="26" t="str">
        <x:f>IF('迁盟总表'!B308="","",'迁盟总表'!B308)</x:f>
        <x:v>荔枝吖</x:v>
      </x:c>
      <x:c r="B17" s="27" t="str">
        <x:f>IF('迁盟总表'!C308="","",'迁盟总表'!C308)</x:f>
        <x:v>燕云</x:v>
      </x:c>
      <x:c r="C17" s="67" t="str">
        <x:f>IF('迁盟总表'!D308="","",'迁盟总表'!D308)</x:f>
        <x:v>燕云</x:v>
      </x:c>
      <x:c r="D17" s="27" t="str">
        <x:f>IF('迁盟总表'!E308="","",'迁盟总表'!E308)</x:f>
        <x:v>留盟</x:v>
      </x:c>
      <x:c r="E17" s="40" t="n">
        <x:f>IF('迁盟总表'!Q308="","",'迁盟总表'!Q308)</x:f>
        <x:v>1554098234</x:v>
      </x:c>
      <x:c r="F17" s="40" t="n">
        <x:f>IF('迁盟总表'!R308="","",'迁盟总表'!R308)</x:f>
        <x:v>75643544</x:v>
      </x:c>
      <x:c r="G17" s="40" t="n">
        <x:f>IF('迁盟总表'!S308="","",'迁盟总表'!S308)</x:f>
        <x:v>264486161</x:v>
      </x:c>
      <x:c r="H17" s="37" t="n">
        <x:f>IF('迁盟总表'!H308="","",'迁盟总表'!H308)</x:f>
        <x:v>24.78</x:v>
      </x:c>
      <x:c r="I17" s="37" t="str">
        <x:f>IF('迁盟总表'!I308="","",'迁盟总表'!I308)</x:f>
      </x:c>
      <x:c r="J17" s="40" t="n">
        <x:f>IF('迁盟总表'!J308="","",'迁盟总表'!J308)</x:f>
        <x:v>651</x:v>
      </x:c>
      <x:c r="K17" s="40" t="n">
        <x:f>IF('迁盟总表'!K308="","",'迁盟总表'!K308)</x:f>
        <x:v>441</x:v>
      </x:c>
      <x:c r="L17" s="40" t="n">
        <x:f>IF('迁盟总表'!L308="","",'迁盟总表'!L308)</x:f>
        <x:v>630</x:v>
      </x:c>
      <x:c r="M17" s="40" t="n">
        <x:f>IF('迁盟总表'!M308="","",'迁盟总表'!M308)</x:f>
        <x:v>433</x:v>
      </x:c>
      <x:c r="N17" s="40" t="n">
        <x:f>IF('迁盟总表'!N308="","",'迁盟总表'!N308)</x:f>
        <x:v>719</x:v>
      </x:c>
      <x:c r="O17" s="40" t="n">
        <x:f>IF('迁盟总表'!O308="","",'迁盟总表'!O308)</x:f>
        <x:v>580</x:v>
      </x:c>
      <x:c r="P17" s="40" t="n">
        <x:f>IF('迁盟总表'!P308="","",'迁盟总表'!P308)</x:f>
        <x:v>3454</x:v>
      </x:c>
      <x:c r="Q17" s="43" t="n">
        <x:f>IF('迁盟总表'!X308="","",'迁盟总表'!X308)</x:f>
        <x:v>68.9</x:v>
      </x:c>
      <x:c r="R17" s="27" t="n">
        <x:f>IF('迁盟总表'!Y308="","",'迁盟总表'!Y308)</x:f>
        <x:v>222</x:v>
      </x:c>
      <x:c r="S17" s="55" t="str">
        <x:f>IF('迁盟总表'!Z308="","",'迁盟总表'!Z308)</x:f>
        <x:v>保持当前盟，减少迁移成本</x:v>
      </x:c>
    </x:row>
    <x:row r="18" ht="20" customHeight="1">
      <x:c r="A18" s="26" t="str">
        <x:f>IF('迁盟总表'!B309="","",'迁盟总表'!B309)</x:f>
        <x:v>伤心难过的后妈</x:v>
      </x:c>
      <x:c r="B18" s="27" t="str">
        <x:f>IF('迁盟总表'!C309="","",'迁盟总表'!C309)</x:f>
        <x:v>燕云</x:v>
      </x:c>
      <x:c r="C18" s="67" t="str">
        <x:f>IF('迁盟总表'!D309="","",'迁盟总表'!D309)</x:f>
        <x:v>燕云</x:v>
      </x:c>
      <x:c r="D18" s="27" t="str">
        <x:f>IF('迁盟总表'!E309="","",'迁盟总表'!E309)</x:f>
        <x:v>留盟</x:v>
      </x:c>
      <x:c r="E18" s="40" t="n">
        <x:f>IF('迁盟总表'!Q309="","",'迁盟总表'!Q309)</x:f>
        <x:v>597194084</x:v>
      </x:c>
      <x:c r="F18" s="40" t="n">
        <x:f>IF('迁盟总表'!R309="","",'迁盟总表'!R309)</x:f>
        <x:v>83562896</x:v>
      </x:c>
      <x:c r="G18" s="40" t="n">
        <x:f>IF('迁盟总表'!S309="","",'迁盟总表'!S309)</x:f>
        <x:v>200038958</x:v>
      </x:c>
      <x:c r="H18" s="37" t="n">
        <x:f>IF('迁盟总表'!H309="","",'迁盟总表'!H309)</x:f>
        <x:v>27</x:v>
      </x:c>
      <x:c r="I18" s="37" t="n">
        <x:f>IF('迁盟总表'!I309="","",'迁盟总表'!I309)</x:f>
        <x:v>27</x:v>
      </x:c>
      <x:c r="J18" s="40" t="n">
        <x:f>IF('迁盟总表'!J309="","",'迁盟总表'!J309)</x:f>
        <x:v>738</x:v>
      </x:c>
      <x:c r="K18" s="40" t="n">
        <x:f>IF('迁盟总表'!K309="","",'迁盟总表'!K309)</x:f>
        <x:v>914</x:v>
      </x:c>
      <x:c r="L18" s="40" t="n">
        <x:f>IF('迁盟总表'!L309="","",'迁盟总表'!L309)</x:f>
        <x:v>574</x:v>
      </x:c>
      <x:c r="M18" s="40" t="n">
        <x:f>IF('迁盟总表'!M309="","",'迁盟总表'!M309)</x:f>
        <x:v>448</x:v>
      </x:c>
      <x:c r="N18" s="40" t="n">
        <x:f>IF('迁盟总表'!N309="","",'迁盟总表'!N309)</x:f>
        <x:v>605</x:v>
      </x:c>
      <x:c r="O18" s="40" t="n">
        <x:f>IF('迁盟总表'!O309="","",'迁盟总表'!O309)</x:f>
        <x:v>681</x:v>
      </x:c>
      <x:c r="P18" s="40" t="n">
        <x:f>IF('迁盟总表'!P309="","",'迁盟总表'!P309)</x:f>
        <x:v>3960</x:v>
      </x:c>
      <x:c r="Q18" s="43" t="n">
        <x:f>IF('迁盟总表'!X309="","",'迁盟总表'!X309)</x:f>
        <x:v>68.2</x:v>
      </x:c>
      <x:c r="R18" s="27" t="n">
        <x:f>IF('迁盟总表'!Y309="","",'迁盟总表'!Y309)</x:f>
        <x:v>229</x:v>
      </x:c>
      <x:c r="S18" s="55" t="str">
        <x:f>IF('迁盟总表'!Z309="","",'迁盟总表'!Z309)</x:f>
        <x:v>保持当前盟，减少迁移成本</x:v>
      </x:c>
    </x:row>
    <x:row r="19" ht="20" customHeight="1">
      <x:c r="A19" s="26" t="str">
        <x:f>IF('迁盟总表'!B310="","",'迁盟总表'!B310)</x:f>
        <x:v>一帆风顺</x:v>
      </x:c>
      <x:c r="B19" s="27" t="str">
        <x:f>IF('迁盟总表'!C310="","",'迁盟总表'!C310)</x:f>
        <x:v>兰亭</x:v>
      </x:c>
      <x:c r="C19" s="67" t="str">
        <x:f>IF('迁盟总表'!D310="","",'迁盟总表'!D310)</x:f>
        <x:v>燕云</x:v>
      </x:c>
      <x:c r="D19" s="27" t="str">
        <x:f>IF('迁盟总表'!E310="","",'迁盟总表'!E310)</x:f>
        <x:v>兰亭→燕云</x:v>
      </x:c>
      <x:c r="E19" s="40" t="n">
        <x:f>IF('迁盟总表'!Q310="","",'迁盟总表'!Q310)</x:f>
        <x:v>2909955282</x:v>
      </x:c>
      <x:c r="F19" s="40" t="n">
        <x:f>IF('迁盟总表'!R310="","",'迁盟总表'!R310)</x:f>
        <x:v>60753486</x:v>
      </x:c>
      <x:c r="G19" s="40" t="n">
        <x:f>IF('迁盟总表'!S310="","",'迁盟总表'!S310)</x:f>
        <x:v>168393437</x:v>
      </x:c>
      <x:c r="H19" s="37" t="str">
        <x:f>IF('迁盟总表'!H310="","",'迁盟总表'!H310)</x:f>
      </x:c>
      <x:c r="I19" s="37" t="str">
        <x:f>IF('迁盟总表'!I310="","",'迁盟总表'!I310)</x:f>
      </x:c>
      <x:c r="J19" s="40" t="str">
        <x:f>IF('迁盟总表'!J310="","",'迁盟总表'!J310)</x:f>
      </x:c>
      <x:c r="K19" s="40" t="str">
        <x:f>IF('迁盟总表'!K310="","",'迁盟总表'!K310)</x:f>
      </x:c>
      <x:c r="L19" s="40" t="str">
        <x:f>IF('迁盟总表'!L310="","",'迁盟总表'!L310)</x:f>
      </x:c>
      <x:c r="M19" s="40" t="str">
        <x:f>IF('迁盟总表'!M310="","",'迁盟总表'!M310)</x:f>
      </x:c>
      <x:c r="N19" s="40" t="str">
        <x:f>IF('迁盟总表'!N310="","",'迁盟总表'!N310)</x:f>
      </x:c>
      <x:c r="O19" s="40" t="str">
        <x:f>IF('迁盟总表'!O310="","",'迁盟总表'!O310)</x:f>
      </x:c>
      <x:c r="P19" s="40" t="str">
        <x:f>IF('迁盟总表'!P310="","",'迁盟总表'!P310)</x:f>
      </x:c>
      <x:c r="Q19" s="43" t="n">
        <x:f>IF('迁盟总表'!X310="","",'迁盟总表'!X310)</x:f>
        <x:v>64.4</x:v>
      </x:c>
      <x:c r="R19" s="27" t="n">
        <x:f>IF('迁盟总表'!Y310="","",'迁盟总表'!Y310)</x:f>
        <x:v>262</x:v>
      </x:c>
      <x:c r="S19" s="55" t="str">
        <x:f>IF('迁盟总表'!Z310="","",'迁盟总表'!Z310)</x:f>
        <x:v>为一盟战斗重组和盟容量平衡进行对调</x:v>
      </x:c>
    </x:row>
    <x:row r="20" ht="20" customHeight="1">
      <x:c r="A20" s="26" t="str">
        <x:f>IF('迁盟总表'!B311="","",'迁盟总表'!B311)</x:f>
        <x:v>一身反骨的棉花</x:v>
      </x:c>
      <x:c r="B20" s="27" t="str">
        <x:f>IF('迁盟总表'!C311="","",'迁盟总表'!C311)</x:f>
        <x:v>兰亭</x:v>
      </x:c>
      <x:c r="C20" s="67" t="str">
        <x:f>IF('迁盟总表'!D311="","",'迁盟总表'!D311)</x:f>
        <x:v>燕云</x:v>
      </x:c>
      <x:c r="D20" s="27" t="str">
        <x:f>IF('迁盟总表'!E311="","",'迁盟总表'!E311)</x:f>
        <x:v>兰亭→燕云</x:v>
      </x:c>
      <x:c r="E20" s="40" t="n">
        <x:f>IF('迁盟总表'!Q311="","",'迁盟总表'!Q311)</x:f>
        <x:v>1091922781</x:v>
      </x:c>
      <x:c r="F20" s="40" t="n">
        <x:f>IF('迁盟总表'!R311="","",'迁盟总表'!R311)</x:f>
        <x:v>69195135</x:v>
      </x:c>
      <x:c r="G20" s="40" t="n">
        <x:f>IF('迁盟总表'!S311="","",'迁盟总表'!S311)</x:f>
        <x:v>189479935</x:v>
      </x:c>
      <x:c r="H20" s="37" t="n">
        <x:f>IF('迁盟总表'!H311="","",'迁盟总表'!H311)</x:f>
        <x:v>25.8</x:v>
      </x:c>
      <x:c r="I20" s="37" t="n">
        <x:f>IF('迁盟总表'!I311="","",'迁盟总表'!I311)</x:f>
        <x:v>25.8</x:v>
      </x:c>
      <x:c r="J20" s="40" t="n">
        <x:f>IF('迁盟总表'!J311="","",'迁盟总表'!J311)</x:f>
        <x:v>600</x:v>
      </x:c>
      <x:c r="K20" s="40" t="n">
        <x:f>IF('迁盟总表'!K311="","",'迁盟总表'!K311)</x:f>
        <x:v>538</x:v>
      </x:c>
      <x:c r="L20" s="40" t="n">
        <x:f>IF('迁盟总表'!L311="","",'迁盟总表'!L311)</x:f>
        <x:v>596</x:v>
      </x:c>
      <x:c r="M20" s="40" t="n">
        <x:f>IF('迁盟总表'!M311="","",'迁盟总表'!M311)</x:f>
        <x:v>506</x:v>
      </x:c>
      <x:c r="N20" s="40" t="n">
        <x:f>IF('迁盟总表'!N311="","",'迁盟总表'!N311)</x:f>
        <x:v>610</x:v>
      </x:c>
      <x:c r="O20" s="40" t="n">
        <x:f>IF('迁盟总表'!O311="","",'迁盟总表'!O311)</x:f>
        <x:v>484</x:v>
      </x:c>
      <x:c r="P20" s="40" t="n">
        <x:f>IF('迁盟总表'!P311="","",'迁盟总表'!P311)</x:f>
        <x:v>3334</x:v>
      </x:c>
      <x:c r="Q20" s="43" t="n">
        <x:f>IF('迁盟总表'!X311="","",'迁盟总表'!X311)</x:f>
        <x:v>64.2</x:v>
      </x:c>
      <x:c r="R20" s="27" t="n">
        <x:f>IF('迁盟总表'!Y311="","",'迁盟总表'!Y311)</x:f>
        <x:v>266</x:v>
      </x:c>
      <x:c r="S20" s="55" t="str">
        <x:f>IF('迁盟总表'!Z311="","",'迁盟总表'!Z311)</x:f>
        <x:v>为一盟战斗重组和盟容量平衡进行对调</x:v>
      </x:c>
    </x:row>
    <x:row r="21" ht="20" customHeight="1">
      <x:c r="A21" s="26" t="str">
        <x:f>IF('迁盟总表'!B312="","",'迁盟总表'!B312)</x:f>
        <x:v>默默无语</x:v>
      </x:c>
      <x:c r="B21" s="27" t="str">
        <x:f>IF('迁盟总表'!C312="","",'迁盟总表'!C312)</x:f>
        <x:v>燕云</x:v>
      </x:c>
      <x:c r="C21" s="67" t="str">
        <x:f>IF('迁盟总表'!D312="","",'迁盟总表'!D312)</x:f>
        <x:v>燕云</x:v>
      </x:c>
      <x:c r="D21" s="27" t="str">
        <x:f>IF('迁盟总表'!E312="","",'迁盟总表'!E312)</x:f>
        <x:v>留盟</x:v>
      </x:c>
      <x:c r="E21" s="40" t="n">
        <x:f>IF('迁盟总表'!Q312="","",'迁盟总表'!Q312)</x:f>
        <x:v>1636566642</x:v>
      </x:c>
      <x:c r="F21" s="40" t="n">
        <x:f>IF('迁盟总表'!R312="","",'迁盟总表'!R312)</x:f>
        <x:v>63585410</x:v>
      </x:c>
      <x:c r="G21" s="40" t="n">
        <x:f>IF('迁盟总表'!S312="","",'迁盟总表'!S312)</x:f>
        <x:v>162819996</x:v>
      </x:c>
      <x:c r="H21" s="37" t="str">
        <x:f>IF('迁盟总表'!H312="","",'迁盟总表'!H312)</x:f>
      </x:c>
      <x:c r="I21" s="37" t="str">
        <x:f>IF('迁盟总表'!I312="","",'迁盟总表'!I312)</x:f>
      </x:c>
      <x:c r="J21" s="40" t="str">
        <x:f>IF('迁盟总表'!J312="","",'迁盟总表'!J312)</x:f>
      </x:c>
      <x:c r="K21" s="40" t="str">
        <x:f>IF('迁盟总表'!K312="","",'迁盟总表'!K312)</x:f>
      </x:c>
      <x:c r="L21" s="40" t="str">
        <x:f>IF('迁盟总表'!L312="","",'迁盟总表'!L312)</x:f>
      </x:c>
      <x:c r="M21" s="40" t="str">
        <x:f>IF('迁盟总表'!M312="","",'迁盟总表'!M312)</x:f>
      </x:c>
      <x:c r="N21" s="40" t="str">
        <x:f>IF('迁盟总表'!N312="","",'迁盟总表'!N312)</x:f>
      </x:c>
      <x:c r="O21" s="40" t="str">
        <x:f>IF('迁盟总表'!O312="","",'迁盟总表'!O312)</x:f>
      </x:c>
      <x:c r="P21" s="40" t="str">
        <x:f>IF('迁盟总表'!P312="","",'迁盟总表'!P312)</x:f>
      </x:c>
      <x:c r="Q21" s="43" t="n">
        <x:f>IF('迁盟总表'!X312="","",'迁盟总表'!X312)</x:f>
        <x:v>63.9</x:v>
      </x:c>
      <x:c r="R21" s="27" t="n">
        <x:f>IF('迁盟总表'!Y312="","",'迁盟总表'!Y312)</x:f>
        <x:v>267</x:v>
      </x:c>
      <x:c r="S21" s="55" t="str">
        <x:f>IF('迁盟总表'!Z312="","",'迁盟总表'!Z312)</x:f>
        <x:v>保持当前盟，减少迁移成本</x:v>
      </x:c>
    </x:row>
    <x:row r="22" ht="20" customHeight="1">
      <x:c r="A22" s="26" t="str">
        <x:f>IF('迁盟总表'!B313="","",'迁盟总表'!B313)</x:f>
        <x:v>石鼓名山</x:v>
      </x:c>
      <x:c r="B22" s="27" t="str">
        <x:f>IF('迁盟总表'!C313="","",'迁盟总表'!C313)</x:f>
        <x:v>兰亭</x:v>
      </x:c>
      <x:c r="C22" s="67" t="str">
        <x:f>IF('迁盟总表'!D313="","",'迁盟总表'!D313)</x:f>
        <x:v>燕云</x:v>
      </x:c>
      <x:c r="D22" s="27" t="str">
        <x:f>IF('迁盟总表'!E313="","",'迁盟总表'!E313)</x:f>
        <x:v>兰亭→燕云</x:v>
      </x:c>
      <x:c r="E22" s="40" t="n">
        <x:f>IF('迁盟总表'!Q313="","",'迁盟总表'!Q313)</x:f>
        <x:v>858188066</x:v>
      </x:c>
      <x:c r="F22" s="40" t="n">
        <x:f>IF('迁盟总表'!R313="","",'迁盟总表'!R313)</x:f>
        <x:v>62625980</x:v>
      </x:c>
      <x:c r="G22" s="40" t="n">
        <x:f>IF('迁盟总表'!S313="","",'迁盟总表'!S313)</x:f>
        <x:v>196829185</x:v>
      </x:c>
      <x:c r="H22" s="37" t="str">
        <x:f>IF('迁盟总表'!H313="","",'迁盟总表'!H313)</x:f>
      </x:c>
      <x:c r="I22" s="37" t="str">
        <x:f>IF('迁盟总表'!I313="","",'迁盟总表'!I313)</x:f>
      </x:c>
      <x:c r="J22" s="40" t="str">
        <x:f>IF('迁盟总表'!J313="","",'迁盟总表'!J313)</x:f>
      </x:c>
      <x:c r="K22" s="40" t="str">
        <x:f>IF('迁盟总表'!K313="","",'迁盟总表'!K313)</x:f>
      </x:c>
      <x:c r="L22" s="40" t="str">
        <x:f>IF('迁盟总表'!L313="","",'迁盟总表'!L313)</x:f>
      </x:c>
      <x:c r="M22" s="40" t="str">
        <x:f>IF('迁盟总表'!M313="","",'迁盟总表'!M313)</x:f>
      </x:c>
      <x:c r="N22" s="40" t="str">
        <x:f>IF('迁盟总表'!N313="","",'迁盟总表'!N313)</x:f>
      </x:c>
      <x:c r="O22" s="40" t="str">
        <x:f>IF('迁盟总表'!O313="","",'迁盟总表'!O313)</x:f>
      </x:c>
      <x:c r="P22" s="40" t="str">
        <x:f>IF('迁盟总表'!P313="","",'迁盟总表'!P313)</x:f>
      </x:c>
      <x:c r="Q22" s="43" t="n">
        <x:f>IF('迁盟总表'!X313="","",'迁盟总表'!X313)</x:f>
        <x:v>63.5</x:v>
      </x:c>
      <x:c r="R22" s="27" t="n">
        <x:f>IF('迁盟总表'!Y313="","",'迁盟总表'!Y313)</x:f>
        <x:v>269</x:v>
      </x:c>
      <x:c r="S22" s="55" t="str">
        <x:f>IF('迁盟总表'!Z313="","",'迁盟总表'!Z313)</x:f>
        <x:v>为一盟战斗重组和盟容量平衡进行对调</x:v>
      </x:c>
    </x:row>
    <x:row r="23" ht="20" customHeight="1">
      <x:c r="A23" s="26" t="str">
        <x:f>IF('迁盟总表'!B314="","",'迁盟总表'!B314)</x:f>
        <x:v>不败的战神</x:v>
      </x:c>
      <x:c r="B23" s="27" t="str">
        <x:f>IF('迁盟总表'!C314="","",'迁盟总表'!C314)</x:f>
        <x:v>兰亭</x:v>
      </x:c>
      <x:c r="C23" s="67" t="str">
        <x:f>IF('迁盟总表'!D314="","",'迁盟总表'!D314)</x:f>
        <x:v>燕云</x:v>
      </x:c>
      <x:c r="D23" s="27" t="str">
        <x:f>IF('迁盟总表'!E314="","",'迁盟总表'!E314)</x:f>
        <x:v>兰亭→燕云</x:v>
      </x:c>
      <x:c r="E23" s="40" t="n">
        <x:f>IF('迁盟总表'!Q314="","",'迁盟总表'!Q314)</x:f>
        <x:v>1692327222</x:v>
      </x:c>
      <x:c r="F23" s="40" t="n">
        <x:f>IF('迁盟总表'!R314="","",'迁盟总表'!R314)</x:f>
        <x:v>63503590</x:v>
      </x:c>
      <x:c r="G23" s="40" t="n">
        <x:f>IF('迁盟总表'!S314="","",'迁盟总表'!S314)</x:f>
        <x:v>186643053</x:v>
      </x:c>
      <x:c r="H23" s="37" t="n">
        <x:f>IF('迁盟总表'!H314="","",'迁盟总表'!H314)</x:f>
        <x:v>24.07</x:v>
      </x:c>
      <x:c r="I23" s="37" t="n">
        <x:f>IF('迁盟总表'!I314="","",'迁盟总表'!I314)</x:f>
        <x:v>24.07</x:v>
      </x:c>
      <x:c r="J23" s="40" t="n">
        <x:f>IF('迁盟总表'!J314="","",'迁盟总表'!J314)</x:f>
        <x:v>591</x:v>
      </x:c>
      <x:c r="K23" s="40" t="n">
        <x:f>IF('迁盟总表'!K314="","",'迁盟总表'!K314)</x:f>
        <x:v>473</x:v>
      </x:c>
      <x:c r="L23" s="40" t="n">
        <x:f>IF('迁盟总表'!L314="","",'迁盟总表'!L314)</x:f>
        <x:v>671</x:v>
      </x:c>
      <x:c r="M23" s="40" t="n">
        <x:f>IF('迁盟总表'!M314="","",'迁盟总表'!M314)</x:f>
        <x:v>482</x:v>
      </x:c>
      <x:c r="N23" s="40" t="n">
        <x:f>IF('迁盟总表'!N314="","",'迁盟总表'!N314)</x:f>
        <x:v>645</x:v>
      </x:c>
      <x:c r="O23" s="40" t="n">
        <x:f>IF('迁盟总表'!O314="","",'迁盟总表'!O314)</x:f>
        <x:v>481</x:v>
      </x:c>
      <x:c r="P23" s="40" t="n">
        <x:f>IF('迁盟总表'!P314="","",'迁盟总表'!P314)</x:f>
        <x:v>3343</x:v>
      </x:c>
      <x:c r="Q23" s="43" t="n">
        <x:f>IF('迁盟总表'!X314="","",'迁盟总表'!X314)</x:f>
        <x:v>63.5</x:v>
      </x:c>
      <x:c r="R23" s="27" t="n">
        <x:f>IF('迁盟总表'!Y314="","",'迁盟总表'!Y314)</x:f>
        <x:v>269</x:v>
      </x:c>
      <x:c r="S23" s="55" t="str">
        <x:f>IF('迁盟总表'!Z314="","",'迁盟总表'!Z314)</x:f>
        <x:v>为一盟战斗重组和盟容量平衡进行对调</x:v>
      </x:c>
    </x:row>
    <x:row r="24" ht="20" customHeight="1">
      <x:c r="A24" s="26" t="str">
        <x:f>IF('迁盟总表'!B315="","",'迁盟总表'!B315)</x:f>
        <x:v>柊芸墨</x:v>
      </x:c>
      <x:c r="B24" s="27" t="str">
        <x:f>IF('迁盟总表'!C315="","",'迁盟总表'!C315)</x:f>
        <x:v>燕云</x:v>
      </x:c>
      <x:c r="C24" s="67" t="str">
        <x:f>IF('迁盟总表'!D315="","",'迁盟总表'!D315)</x:f>
        <x:v>燕云</x:v>
      </x:c>
      <x:c r="D24" s="27" t="str">
        <x:f>IF('迁盟总表'!E315="","",'迁盟总表'!E315)</x:f>
        <x:v>留盟</x:v>
      </x:c>
      <x:c r="E24" s="40" t="n">
        <x:f>IF('迁盟总表'!Q315="","",'迁盟总表'!Q315)</x:f>
        <x:v>1065146616</x:v>
      </x:c>
      <x:c r="F24" s="40" t="n">
        <x:f>IF('迁盟总表'!R315="","",'迁盟总表'!R315)</x:f>
        <x:v>63715701</x:v>
      </x:c>
      <x:c r="G24" s="40" t="n">
        <x:f>IF('迁盟总表'!S315="","",'迁盟总表'!S315)</x:f>
        <x:v>162067729</x:v>
      </x:c>
      <x:c r="H24" s="37" t="str">
        <x:f>IF('迁盟总表'!H315="","",'迁盟总表'!H315)</x:f>
      </x:c>
      <x:c r="I24" s="37" t="str">
        <x:f>IF('迁盟总表'!I315="","",'迁盟总表'!I315)</x:f>
      </x:c>
      <x:c r="J24" s="40" t="str">
        <x:f>IF('迁盟总表'!J315="","",'迁盟总表'!J315)</x:f>
      </x:c>
      <x:c r="K24" s="40" t="str">
        <x:f>IF('迁盟总表'!K315="","",'迁盟总表'!K315)</x:f>
      </x:c>
      <x:c r="L24" s="40" t="str">
        <x:f>IF('迁盟总表'!L315="","",'迁盟总表'!L315)</x:f>
      </x:c>
      <x:c r="M24" s="40" t="str">
        <x:f>IF('迁盟总表'!M315="","",'迁盟总表'!M315)</x:f>
      </x:c>
      <x:c r="N24" s="40" t="str">
        <x:f>IF('迁盟总表'!N315="","",'迁盟总表'!N315)</x:f>
      </x:c>
      <x:c r="O24" s="40" t="str">
        <x:f>IF('迁盟总表'!O315="","",'迁盟总表'!O315)</x:f>
      </x:c>
      <x:c r="P24" s="40" t="str">
        <x:f>IF('迁盟总表'!P315="","",'迁盟总表'!P315)</x:f>
      </x:c>
      <x:c r="Q24" s="43" t="n">
        <x:f>IF('迁盟总表'!X315="","",'迁盟总表'!X315)</x:f>
        <x:v>63.1</x:v>
      </x:c>
      <x:c r="R24" s="27" t="n">
        <x:f>IF('迁盟总表'!Y315="","",'迁盟总表'!Y315)</x:f>
        <x:v>272</x:v>
      </x:c>
      <x:c r="S24" s="55" t="str">
        <x:f>IF('迁盟总表'!Z315="","",'迁盟总表'!Z315)</x:f>
        <x:v>保持当前盟，减少迁移成本</x:v>
      </x:c>
    </x:row>
    <x:row r="25" ht="20" customHeight="1">
      <x:c r="A25" s="26" t="str">
        <x:f>IF('迁盟总表'!B316="","",'迁盟总表'!B316)</x:f>
        <x:v>一粒沙尘</x:v>
      </x:c>
      <x:c r="B25" s="27" t="str">
        <x:f>IF('迁盟总表'!C316="","",'迁盟总表'!C316)</x:f>
        <x:v>兰亭</x:v>
      </x:c>
      <x:c r="C25" s="67" t="str">
        <x:f>IF('迁盟总表'!D316="","",'迁盟总表'!D316)</x:f>
        <x:v>燕云</x:v>
      </x:c>
      <x:c r="D25" s="27" t="str">
        <x:f>IF('迁盟总表'!E316="","",'迁盟总表'!E316)</x:f>
        <x:v>兰亭→燕云</x:v>
      </x:c>
      <x:c r="E25" s="40" t="n">
        <x:f>IF('迁盟总表'!Q316="","",'迁盟总表'!Q316)</x:f>
        <x:v>620725406</x:v>
      </x:c>
      <x:c r="F25" s="40" t="n">
        <x:f>IF('迁盟总表'!R316="","",'迁盟总表'!R316)</x:f>
        <x:v>65997748</x:v>
      </x:c>
      <x:c r="G25" s="40" t="n">
        <x:f>IF('迁盟总表'!S316="","",'迁盟总表'!S316)</x:f>
        <x:v>164043284</x:v>
      </x:c>
      <x:c r="H25" s="37" t="str">
        <x:f>IF('迁盟总表'!H316="","",'迁盟总表'!H316)</x:f>
      </x:c>
      <x:c r="I25" s="37" t="str">
        <x:f>IF('迁盟总表'!I316="","",'迁盟总表'!I316)</x:f>
      </x:c>
      <x:c r="J25" s="40" t="str">
        <x:f>IF('迁盟总表'!J316="","",'迁盟总表'!J316)</x:f>
      </x:c>
      <x:c r="K25" s="40" t="str">
        <x:f>IF('迁盟总表'!K316="","",'迁盟总表'!K316)</x:f>
      </x:c>
      <x:c r="L25" s="40" t="str">
        <x:f>IF('迁盟总表'!L316="","",'迁盟总表'!L316)</x:f>
      </x:c>
      <x:c r="M25" s="40" t="str">
        <x:f>IF('迁盟总表'!M316="","",'迁盟总表'!M316)</x:f>
      </x:c>
      <x:c r="N25" s="40" t="str">
        <x:f>IF('迁盟总表'!N316="","",'迁盟总表'!N316)</x:f>
      </x:c>
      <x:c r="O25" s="40" t="str">
        <x:f>IF('迁盟总表'!O316="","",'迁盟总表'!O316)</x:f>
      </x:c>
      <x:c r="P25" s="40" t="str">
        <x:f>IF('迁盟总表'!P316="","",'迁盟总表'!P316)</x:f>
      </x:c>
      <x:c r="Q25" s="43" t="n">
        <x:f>IF('迁盟总表'!X316="","",'迁盟总表'!X316)</x:f>
        <x:v>62.8</x:v>
      </x:c>
      <x:c r="R25" s="27" t="n">
        <x:f>IF('迁盟总表'!Y316="","",'迁盟总表'!Y316)</x:f>
        <x:v>274</x:v>
      </x:c>
      <x:c r="S25" s="55" t="str">
        <x:f>IF('迁盟总表'!Z316="","",'迁盟总表'!Z316)</x:f>
        <x:v>为一盟战斗重组和盟容量平衡进行对调</x:v>
      </x:c>
    </x:row>
    <x:row r="26" ht="20" customHeight="1">
      <x:c r="A26" s="26" t="str">
        <x:f>IF('迁盟总表'!B317="","",'迁盟总表'!B317)</x:f>
        <x:v>多多苗</x:v>
      </x:c>
      <x:c r="B26" s="27" t="str">
        <x:f>IF('迁盟总表'!C317="","",'迁盟总表'!C317)</x:f>
        <x:v>兰亭</x:v>
      </x:c>
      <x:c r="C26" s="67" t="str">
        <x:f>IF('迁盟总表'!D317="","",'迁盟总表'!D317)</x:f>
        <x:v>燕云</x:v>
      </x:c>
      <x:c r="D26" s="27" t="str">
        <x:f>IF('迁盟总表'!E317="","",'迁盟总表'!E317)</x:f>
        <x:v>兰亭→燕云</x:v>
      </x:c>
      <x:c r="E26" s="40" t="n">
        <x:f>IF('迁盟总表'!Q317="","",'迁盟总表'!Q317)</x:f>
        <x:v>123279952</x:v>
      </x:c>
      <x:c r="F26" s="40" t="n">
        <x:f>IF('迁盟总表'!R317="","",'迁盟总表'!R317)</x:f>
        <x:v>68101890</x:v>
      </x:c>
      <x:c r="G26" s="40" t="n">
        <x:f>IF('迁盟总表'!S317="","",'迁盟总表'!S317)</x:f>
        <x:v>236025118</x:v>
      </x:c>
      <x:c r="H26" s="37" t="str">
        <x:f>IF('迁盟总表'!H317="","",'迁盟总表'!H317)</x:f>
      </x:c>
      <x:c r="I26" s="37" t="str">
        <x:f>IF('迁盟总表'!I317="","",'迁盟总表'!I317)</x:f>
      </x:c>
      <x:c r="J26" s="40" t="str">
        <x:f>IF('迁盟总表'!J317="","",'迁盟总表'!J317)</x:f>
      </x:c>
      <x:c r="K26" s="40" t="str">
        <x:f>IF('迁盟总表'!K317="","",'迁盟总表'!K317)</x:f>
      </x:c>
      <x:c r="L26" s="40" t="str">
        <x:f>IF('迁盟总表'!L317="","",'迁盟总表'!L317)</x:f>
      </x:c>
      <x:c r="M26" s="40" t="str">
        <x:f>IF('迁盟总表'!M317="","",'迁盟总表'!M317)</x:f>
      </x:c>
      <x:c r="N26" s="40" t="str">
        <x:f>IF('迁盟总表'!N317="","",'迁盟总表'!N317)</x:f>
      </x:c>
      <x:c r="O26" s="40" t="str">
        <x:f>IF('迁盟总表'!O317="","",'迁盟总表'!O317)</x:f>
      </x:c>
      <x:c r="P26" s="40" t="str">
        <x:f>IF('迁盟总表'!P317="","",'迁盟总表'!P317)</x:f>
      </x:c>
      <x:c r="Q26" s="43" t="n">
        <x:f>IF('迁盟总表'!X317="","",'迁盟总表'!X317)</x:f>
        <x:v>62.6</x:v>
      </x:c>
      <x:c r="R26" s="27" t="n">
        <x:f>IF('迁盟总表'!Y317="","",'迁盟总表'!Y317)</x:f>
        <x:v>275</x:v>
      </x:c>
      <x:c r="S26" s="55" t="str">
        <x:f>IF('迁盟总表'!Z317="","",'迁盟总表'!Z317)</x:f>
        <x:v>为一盟战斗重组和盟容量平衡进行对调</x:v>
      </x:c>
    </x:row>
    <x:row r="27" ht="20" customHeight="1">
      <x:c r="A27" s="26" t="str">
        <x:f>IF('迁盟总表'!B318="","",'迁盟总表'!B318)</x:f>
        <x:v>专注种地</x:v>
      </x:c>
      <x:c r="B27" s="27" t="str">
        <x:f>IF('迁盟总表'!C318="","",'迁盟总表'!C318)</x:f>
        <x:v>兰亭</x:v>
      </x:c>
      <x:c r="C27" s="67" t="str">
        <x:f>IF('迁盟总表'!D318="","",'迁盟总表'!D318)</x:f>
        <x:v>燕云</x:v>
      </x:c>
      <x:c r="D27" s="27" t="str">
        <x:f>IF('迁盟总表'!E318="","",'迁盟总表'!E318)</x:f>
        <x:v>兰亭→燕云</x:v>
      </x:c>
      <x:c r="E27" s="40" t="n">
        <x:f>IF('迁盟总表'!Q318="","",'迁盟总表'!Q318)</x:f>
        <x:v>851773262</x:v>
      </x:c>
      <x:c r="F27" s="40" t="n">
        <x:f>IF('迁盟总表'!R318="","",'迁盟总表'!R318)</x:f>
        <x:v>64256495</x:v>
      </x:c>
      <x:c r="G27" s="40" t="n">
        <x:f>IF('迁盟总表'!S318="","",'迁盟总表'!S318)</x:f>
        <x:v>192477131</x:v>
      </x:c>
      <x:c r="H27" s="37" t="n">
        <x:f>IF('迁盟总表'!H318="","",'迁盟总表'!H318)</x:f>
        <x:v>26.5</x:v>
      </x:c>
      <x:c r="I27" s="37" t="n">
        <x:f>IF('迁盟总表'!I318="","",'迁盟总表'!I318)</x:f>
        <x:v>22.1</x:v>
      </x:c>
      <x:c r="J27" s="40" t="n">
        <x:f>IF('迁盟总表'!J318="","",'迁盟总表'!J318)</x:f>
        <x:v>560</x:v>
      </x:c>
      <x:c r="K27" s="40" t="n">
        <x:f>IF('迁盟总表'!K318="","",'迁盟总表'!K318)</x:f>
        <x:v>478</x:v>
      </x:c>
      <x:c r="L27" s="40" t="n">
        <x:f>IF('迁盟总表'!L318="","",'迁盟总表'!L318)</x:f>
        <x:v>570</x:v>
      </x:c>
      <x:c r="M27" s="40" t="n">
        <x:f>IF('迁盟总表'!M318="","",'迁盟总表'!M318)</x:f>
        <x:v>452</x:v>
      </x:c>
      <x:c r="N27" s="40" t="n">
        <x:f>IF('迁盟总表'!N318="","",'迁盟总表'!N318)</x:f>
        <x:v>589</x:v>
      </x:c>
      <x:c r="O27" s="40" t="n">
        <x:f>IF('迁盟总表'!O318="","",'迁盟总表'!O318)</x:f>
        <x:v>426</x:v>
      </x:c>
      <x:c r="P27" s="40" t="n">
        <x:f>IF('迁盟总表'!P318="","",'迁盟总表'!P318)</x:f>
        <x:v>3075</x:v>
      </x:c>
      <x:c r="Q27" s="43" t="n">
        <x:f>IF('迁盟总表'!X318="","",'迁盟总表'!X318)</x:f>
        <x:v>62.2</x:v>
      </x:c>
      <x:c r="R27" s="27" t="n">
        <x:f>IF('迁盟总表'!Y318="","",'迁盟总表'!Y318)</x:f>
        <x:v>278</x:v>
      </x:c>
      <x:c r="S27" s="55" t="str">
        <x:f>IF('迁盟总表'!Z318="","",'迁盟总表'!Z318)</x:f>
        <x:v>为一盟战斗重组和盟容量平衡进行对调</x:v>
      </x:c>
    </x:row>
    <x:row r="28" ht="20" customHeight="1">
      <x:c r="A28" s="26" t="str">
        <x:f>IF('迁盟总表'!B319="","",'迁盟总表'!B319)</x:f>
        <x:v>蓝天白云</x:v>
      </x:c>
      <x:c r="B28" s="27" t="str">
        <x:f>IF('迁盟总表'!C319="","",'迁盟总表'!C319)</x:f>
        <x:v>兰亭</x:v>
      </x:c>
      <x:c r="C28" s="67" t="str">
        <x:f>IF('迁盟总表'!D319="","",'迁盟总表'!D319)</x:f>
        <x:v>燕云</x:v>
      </x:c>
      <x:c r="D28" s="27" t="str">
        <x:f>IF('迁盟总表'!E319="","",'迁盟总表'!E319)</x:f>
        <x:v>兰亭→燕云</x:v>
      </x:c>
      <x:c r="E28" s="40" t="n">
        <x:f>IF('迁盟总表'!Q319="","",'迁盟总表'!Q319)</x:f>
        <x:v>71240368</x:v>
      </x:c>
      <x:c r="F28" s="40" t="n">
        <x:f>IF('迁盟总表'!R319="","",'迁盟总表'!R319)</x:f>
        <x:v>70988297</x:v>
      </x:c>
      <x:c r="G28" s="40" t="n">
        <x:f>IF('迁盟总表'!S319="","",'迁盟总表'!S319)</x:f>
        <x:v>212230845</x:v>
      </x:c>
      <x:c r="H28" s="37" t="str">
        <x:f>IF('迁盟总表'!H319="","",'迁盟总表'!H319)</x:f>
      </x:c>
      <x:c r="I28" s="37" t="str">
        <x:f>IF('迁盟总表'!I319="","",'迁盟总表'!I319)</x:f>
      </x:c>
      <x:c r="J28" s="40" t="str">
        <x:f>IF('迁盟总表'!J319="","",'迁盟总表'!J319)</x:f>
      </x:c>
      <x:c r="K28" s="40" t="str">
        <x:f>IF('迁盟总表'!K319="","",'迁盟总表'!K319)</x:f>
      </x:c>
      <x:c r="L28" s="40" t="str">
        <x:f>IF('迁盟总表'!L319="","",'迁盟总表'!L319)</x:f>
      </x:c>
      <x:c r="M28" s="40" t="str">
        <x:f>IF('迁盟总表'!M319="","",'迁盟总表'!M319)</x:f>
      </x:c>
      <x:c r="N28" s="40" t="str">
        <x:f>IF('迁盟总表'!N319="","",'迁盟总表'!N319)</x:f>
      </x:c>
      <x:c r="O28" s="40" t="str">
        <x:f>IF('迁盟总表'!O319="","",'迁盟总表'!O319)</x:f>
      </x:c>
      <x:c r="P28" s="40" t="str">
        <x:f>IF('迁盟总表'!P319="","",'迁盟总表'!P319)</x:f>
      </x:c>
      <x:c r="Q28" s="43" t="n">
        <x:f>IF('迁盟总表'!X319="","",'迁盟总表'!X319)</x:f>
        <x:v>61.7</x:v>
      </x:c>
      <x:c r="R28" s="27" t="n">
        <x:f>IF('迁盟总表'!Y319="","",'迁盟总表'!Y319)</x:f>
        <x:v>282</x:v>
      </x:c>
      <x:c r="S28" s="55" t="str">
        <x:f>IF('迁盟总表'!Z319="","",'迁盟总表'!Z319)</x:f>
        <x:v>为一盟战斗重组和盟容量平衡进行对调</x:v>
      </x:c>
    </x:row>
    <x:row r="29" ht="20" customHeight="1">
      <x:c r="A29" s="26" t="str">
        <x:f>IF('迁盟总表'!B320="","",'迁盟总表'!B320)</x:f>
        <x:v>乔伊斯</x:v>
      </x:c>
      <x:c r="B29" s="27" t="str">
        <x:f>IF('迁盟总表'!C320="","",'迁盟总表'!C320)</x:f>
        <x:v>兰亭</x:v>
      </x:c>
      <x:c r="C29" s="67" t="str">
        <x:f>IF('迁盟总表'!D320="","",'迁盟总表'!D320)</x:f>
        <x:v>燕云</x:v>
      </x:c>
      <x:c r="D29" s="27" t="str">
        <x:f>IF('迁盟总表'!E320="","",'迁盟总表'!E320)</x:f>
        <x:v>兰亭→燕云</x:v>
      </x:c>
      <x:c r="E29" s="40" t="n">
        <x:f>IF('迁盟总表'!Q320="","",'迁盟总表'!Q320)</x:f>
        <x:v>264338188</x:v>
      </x:c>
      <x:c r="F29" s="40" t="n">
        <x:f>IF('迁盟总表'!R320="","",'迁盟总表'!R320)</x:f>
        <x:v>63325012</x:v>
      </x:c>
      <x:c r="G29" s="40" t="n">
        <x:f>IF('迁盟总表'!S320="","",'迁盟总表'!S320)</x:f>
        <x:v>194354584</x:v>
      </x:c>
      <x:c r="H29" s="37" t="str">
        <x:f>IF('迁盟总表'!H320="","",'迁盟总表'!H320)</x:f>
      </x:c>
      <x:c r="I29" s="37" t="str">
        <x:f>IF('迁盟总表'!I320="","",'迁盟总表'!I320)</x:f>
      </x:c>
      <x:c r="J29" s="40" t="str">
        <x:f>IF('迁盟总表'!J320="","",'迁盟总表'!J320)</x:f>
      </x:c>
      <x:c r="K29" s="40" t="str">
        <x:f>IF('迁盟总表'!K320="","",'迁盟总表'!K320)</x:f>
      </x:c>
      <x:c r="L29" s="40" t="str">
        <x:f>IF('迁盟总表'!L320="","",'迁盟总表'!L320)</x:f>
      </x:c>
      <x:c r="M29" s="40" t="str">
        <x:f>IF('迁盟总表'!M320="","",'迁盟总表'!M320)</x:f>
      </x:c>
      <x:c r="N29" s="40" t="str">
        <x:f>IF('迁盟总表'!N320="","",'迁盟总表'!N320)</x:f>
      </x:c>
      <x:c r="O29" s="40" t="str">
        <x:f>IF('迁盟总表'!O320="","",'迁盟总表'!O320)</x:f>
      </x:c>
      <x:c r="P29" s="40" t="str">
        <x:f>IF('迁盟总表'!P320="","",'迁盟总表'!P320)</x:f>
      </x:c>
      <x:c r="Q29" s="43" t="n">
        <x:f>IF('迁盟总表'!X320="","",'迁盟总表'!X320)</x:f>
        <x:v>61.4</x:v>
      </x:c>
      <x:c r="R29" s="27" t="n">
        <x:f>IF('迁盟总表'!Y320="","",'迁盟总表'!Y320)</x:f>
        <x:v>283</x:v>
      </x:c>
      <x:c r="S29" s="55" t="str">
        <x:f>IF('迁盟总表'!Z320="","",'迁盟总表'!Z320)</x:f>
        <x:v>为一盟战斗重组和盟容量平衡进行对调</x:v>
      </x:c>
    </x:row>
    <x:row r="30" ht="20" customHeight="1">
      <x:c r="A30" s="26" t="str">
        <x:f>IF('迁盟总表'!B321="","",'迁盟总表'!B321)</x:f>
        <x:v>李莫愁</x:v>
      </x:c>
      <x:c r="B30" s="27" t="str">
        <x:f>IF('迁盟总表'!C321="","",'迁盟总表'!C321)</x:f>
        <x:v>兰亭</x:v>
      </x:c>
      <x:c r="C30" s="67" t="str">
        <x:f>IF('迁盟总表'!D321="","",'迁盟总表'!D321)</x:f>
        <x:v>燕云</x:v>
      </x:c>
      <x:c r="D30" s="27" t="str">
        <x:f>IF('迁盟总表'!E321="","",'迁盟总表'!E321)</x:f>
        <x:v>兰亭→燕云</x:v>
      </x:c>
      <x:c r="E30" s="40" t="n">
        <x:f>IF('迁盟总表'!Q321="","",'迁盟总表'!Q321)</x:f>
        <x:v>582366214</x:v>
      </x:c>
      <x:c r="F30" s="40" t="n">
        <x:f>IF('迁盟总表'!R321="","",'迁盟总表'!R321)</x:f>
        <x:v>61205537</x:v>
      </x:c>
      <x:c r="G30" s="40" t="n">
        <x:f>IF('迁盟总表'!S321="","",'迁盟总表'!S321)</x:f>
        <x:v>201538097</x:v>
      </x:c>
      <x:c r="H30" s="37" t="n">
        <x:f>IF('迁盟总表'!H321="","",'迁盟总表'!H321)</x:f>
        <x:v>21</x:v>
      </x:c>
      <x:c r="I30" s="37" t="n">
        <x:f>IF('迁盟总表'!I321="","",'迁盟总表'!I321)</x:f>
        <x:v>21</x:v>
      </x:c>
      <x:c r="J30" s="40" t="n">
        <x:f>IF('迁盟总表'!J321="","",'迁盟总表'!J321)</x:f>
        <x:v>568</x:v>
      </x:c>
      <x:c r="K30" s="40" t="n">
        <x:f>IF('迁盟总表'!K321="","",'迁盟总表'!K321)</x:f>
        <x:v>605</x:v>
      </x:c>
      <x:c r="L30" s="40" t="n">
        <x:f>IF('迁盟总表'!L321="","",'迁盟总表'!L321)</x:f>
        <x:v>520</x:v>
      </x:c>
      <x:c r="M30" s="40" t="n">
        <x:f>IF('迁盟总表'!M321="","",'迁盟总表'!M321)</x:f>
        <x:v>390</x:v>
      </x:c>
      <x:c r="N30" s="40" t="n">
        <x:f>IF('迁盟总表'!N321="","",'迁盟总表'!N321)</x:f>
        <x:v>555</x:v>
      </x:c>
      <x:c r="O30" s="40" t="n">
        <x:f>IF('迁盟总表'!O321="","",'迁盟总表'!O321)</x:f>
        <x:v>472</x:v>
      </x:c>
      <x:c r="P30" s="40" t="n">
        <x:f>IF('迁盟总表'!P321="","",'迁盟总表'!P321)</x:f>
        <x:v>3110</x:v>
      </x:c>
      <x:c r="Q30" s="43" t="n">
        <x:f>IF('迁盟总表'!X321="","",'迁盟总表'!X321)</x:f>
        <x:v>61.1</x:v>
      </x:c>
      <x:c r="R30" s="27" t="n">
        <x:f>IF('迁盟总表'!Y321="","",'迁盟总表'!Y321)</x:f>
        <x:v>284</x:v>
      </x:c>
      <x:c r="S30" s="55" t="str">
        <x:f>IF('迁盟总表'!Z321="","",'迁盟总表'!Z321)</x:f>
        <x:v>为一盟战斗重组和盟容量平衡进行对调</x:v>
      </x:c>
    </x:row>
    <x:row r="31" ht="20" customHeight="1">
      <x:c r="A31" s="26" t="str">
        <x:f>IF('迁盟总表'!B322="","",'迁盟总表'!B322)</x:f>
        <x:v>叫老公</x:v>
      </x:c>
      <x:c r="B31" s="27" t="str">
        <x:f>IF('迁盟总表'!C322="","",'迁盟总表'!C322)</x:f>
        <x:v>兰亭</x:v>
      </x:c>
      <x:c r="C31" s="67" t="str">
        <x:f>IF('迁盟总表'!D322="","",'迁盟总表'!D322)</x:f>
        <x:v>燕云</x:v>
      </x:c>
      <x:c r="D31" s="27" t="str">
        <x:f>IF('迁盟总表'!E322="","",'迁盟总表'!E322)</x:f>
        <x:v>兰亭→燕云</x:v>
      </x:c>
      <x:c r="E31" s="40" t="n">
        <x:f>IF('迁盟总表'!Q322="","",'迁盟总表'!Q322)</x:f>
        <x:v>91610220</x:v>
      </x:c>
      <x:c r="F31" s="40" t="n">
        <x:f>IF('迁盟总表'!R322="","",'迁盟总表'!R322)</x:f>
        <x:v>69082615</x:v>
      </x:c>
      <x:c r="G31" s="40" t="n">
        <x:f>IF('迁盟总表'!S322="","",'迁盟总表'!S322)</x:f>
        <x:v>196667568</x:v>
      </x:c>
      <x:c r="H31" s="37" t="str">
        <x:f>IF('迁盟总表'!H322="","",'迁盟总表'!H322)</x:f>
      </x:c>
      <x:c r="I31" s="37" t="str">
        <x:f>IF('迁盟总表'!I322="","",'迁盟总表'!I322)</x:f>
      </x:c>
      <x:c r="J31" s="40" t="str">
        <x:f>IF('迁盟总表'!J322="","",'迁盟总表'!J322)</x:f>
      </x:c>
      <x:c r="K31" s="40" t="str">
        <x:f>IF('迁盟总表'!K322="","",'迁盟总表'!K322)</x:f>
      </x:c>
      <x:c r="L31" s="40" t="str">
        <x:f>IF('迁盟总表'!L322="","",'迁盟总表'!L322)</x:f>
      </x:c>
      <x:c r="M31" s="40" t="str">
        <x:f>IF('迁盟总表'!M322="","",'迁盟总表'!M322)</x:f>
      </x:c>
      <x:c r="N31" s="40" t="str">
        <x:f>IF('迁盟总表'!N322="","",'迁盟总表'!N322)</x:f>
      </x:c>
      <x:c r="O31" s="40" t="str">
        <x:f>IF('迁盟总表'!O322="","",'迁盟总表'!O322)</x:f>
      </x:c>
      <x:c r="P31" s="40" t="str">
        <x:f>IF('迁盟总表'!P322="","",'迁盟总表'!P322)</x:f>
      </x:c>
      <x:c r="Q31" s="43" t="n">
        <x:f>IF('迁盟总表'!X322="","",'迁盟总表'!X322)</x:f>
        <x:v>61.1</x:v>
      </x:c>
      <x:c r="R31" s="27" t="n">
        <x:f>IF('迁盟总表'!Y322="","",'迁盟总表'!Y322)</x:f>
        <x:v>284</x:v>
      </x:c>
      <x:c r="S31" s="55" t="str">
        <x:f>IF('迁盟总表'!Z322="","",'迁盟总表'!Z322)</x:f>
        <x:v>为一盟战斗重组和盟容量平衡进行对调</x:v>
      </x:c>
    </x:row>
    <x:row r="32" ht="20" customHeight="1">
      <x:c r="A32" s="26" t="str">
        <x:f>IF('迁盟总表'!B323="","",'迁盟总表'!B323)</x:f>
        <x:v>独孤九剑</x:v>
      </x:c>
      <x:c r="B32" s="27" t="str">
        <x:f>IF('迁盟总表'!C323="","",'迁盟总表'!C323)</x:f>
        <x:v>燕云</x:v>
      </x:c>
      <x:c r="C32" s="67" t="str">
        <x:f>IF('迁盟总表'!D323="","",'迁盟总表'!D323)</x:f>
        <x:v>燕云</x:v>
      </x:c>
      <x:c r="D32" s="27" t="str">
        <x:f>IF('迁盟总表'!E323="","",'迁盟总表'!E323)</x:f>
        <x:v>留盟</x:v>
      </x:c>
      <x:c r="E32" s="40" t="n">
        <x:f>IF('迁盟总表'!Q323="","",'迁盟总表'!Q323)</x:f>
        <x:v>1027468872</x:v>
      </x:c>
      <x:c r="F32" s="40" t="n">
        <x:f>IF('迁盟总表'!R323="","",'迁盟总表'!R323)</x:f>
        <x:v>54982367</x:v>
      </x:c>
      <x:c r="G32" s="40" t="n">
        <x:f>IF('迁盟总表'!S323="","",'迁盟总表'!S323)</x:f>
        <x:v>141933587</x:v>
      </x:c>
      <x:c r="H32" s="37" t="str">
        <x:f>IF('迁盟总表'!H323="","",'迁盟总表'!H323)</x:f>
      </x:c>
      <x:c r="I32" s="37" t="str">
        <x:f>IF('迁盟总表'!I323="","",'迁盟总表'!I323)</x:f>
      </x:c>
      <x:c r="J32" s="40" t="str">
        <x:f>IF('迁盟总表'!J323="","",'迁盟总表'!J323)</x:f>
      </x:c>
      <x:c r="K32" s="40" t="str">
        <x:f>IF('迁盟总表'!K323="","",'迁盟总表'!K323)</x:f>
      </x:c>
      <x:c r="L32" s="40" t="str">
        <x:f>IF('迁盟总表'!L323="","",'迁盟总表'!L323)</x:f>
      </x:c>
      <x:c r="M32" s="40" t="str">
        <x:f>IF('迁盟总表'!M323="","",'迁盟总表'!M323)</x:f>
      </x:c>
      <x:c r="N32" s="40" t="str">
        <x:f>IF('迁盟总表'!N323="","",'迁盟总表'!N323)</x:f>
      </x:c>
      <x:c r="O32" s="40" t="str">
        <x:f>IF('迁盟总表'!O323="","",'迁盟总表'!O323)</x:f>
      </x:c>
      <x:c r="P32" s="40" t="str">
        <x:f>IF('迁盟总表'!P323="","",'迁盟总表'!P323)</x:f>
      </x:c>
      <x:c r="Q32" s="43" t="n">
        <x:f>IF('迁盟总表'!X323="","",'迁盟总表'!X323)</x:f>
        <x:v>59.9</x:v>
      </x:c>
      <x:c r="R32" s="27" t="n">
        <x:f>IF('迁盟总表'!Y323="","",'迁盟总表'!Y323)</x:f>
        <x:v>288</x:v>
      </x:c>
      <x:c r="S32" s="55" t="str">
        <x:f>IF('迁盟总表'!Z323="","",'迁盟总表'!Z323)</x:f>
        <x:v>保持当前盟，减少迁移成本</x:v>
      </x:c>
    </x:row>
    <x:row r="33" ht="20" customHeight="1">
      <x:c r="A33" s="26" t="str">
        <x:f>IF('迁盟总表'!B324="","",'迁盟总表'!B324)</x:f>
        <x:v>独孤求败</x:v>
      </x:c>
      <x:c r="B33" s="27" t="str">
        <x:f>IF('迁盟总表'!C324="","",'迁盟总表'!C324)</x:f>
        <x:v>燕云</x:v>
      </x:c>
      <x:c r="C33" s="67" t="str">
        <x:f>IF('迁盟总表'!D324="","",'迁盟总表'!D324)</x:f>
        <x:v>燕云</x:v>
      </x:c>
      <x:c r="D33" s="27" t="str">
        <x:f>IF('迁盟总表'!E324="","",'迁盟总表'!E324)</x:f>
        <x:v>留盟</x:v>
      </x:c>
      <x:c r="E33" s="40" t="n">
        <x:f>IF('迁盟总表'!Q324="","",'迁盟总表'!Q324)</x:f>
        <x:v>30738216</x:v>
      </x:c>
      <x:c r="F33" s="40" t="n">
        <x:f>IF('迁盟总表'!R324="","",'迁盟总表'!R324)</x:f>
        <x:v>65069880</x:v>
      </x:c>
      <x:c r="G33" s="40" t="n">
        <x:f>IF('迁盟总表'!S324="","",'迁盟总表'!S324)</x:f>
        <x:v>208169228</x:v>
      </x:c>
      <x:c r="H33" s="37" t="str">
        <x:f>IF('迁盟总表'!H324="","",'迁盟总表'!H324)</x:f>
      </x:c>
      <x:c r="I33" s="37" t="str">
        <x:f>IF('迁盟总表'!I324="","",'迁盟总表'!I324)</x:f>
      </x:c>
      <x:c r="J33" s="40" t="str">
        <x:f>IF('迁盟总表'!J324="","",'迁盟总表'!J324)</x:f>
      </x:c>
      <x:c r="K33" s="40" t="str">
        <x:f>IF('迁盟总表'!K324="","",'迁盟总表'!K324)</x:f>
      </x:c>
      <x:c r="L33" s="40" t="str">
        <x:f>IF('迁盟总表'!L324="","",'迁盟总表'!L324)</x:f>
      </x:c>
      <x:c r="M33" s="40" t="str">
        <x:f>IF('迁盟总表'!M324="","",'迁盟总表'!M324)</x:f>
      </x:c>
      <x:c r="N33" s="40" t="str">
        <x:f>IF('迁盟总表'!N324="","",'迁盟总表'!N324)</x:f>
      </x:c>
      <x:c r="O33" s="40" t="str">
        <x:f>IF('迁盟总表'!O324="","",'迁盟总表'!O324)</x:f>
      </x:c>
      <x:c r="P33" s="40" t="str">
        <x:f>IF('迁盟总表'!P324="","",'迁盟总表'!P324)</x:f>
      </x:c>
      <x:c r="Q33" s="43" t="n">
        <x:f>IF('迁盟总表'!X324="","",'迁盟总表'!X324)</x:f>
        <x:v>58.2</x:v>
      </x:c>
      <x:c r="R33" s="27" t="n">
        <x:f>IF('迁盟总表'!Y324="","",'迁盟总表'!Y324)</x:f>
        <x:v>294</x:v>
      </x:c>
      <x:c r="S33" s="55" t="str">
        <x:f>IF('迁盟总表'!Z324="","",'迁盟总表'!Z324)</x:f>
        <x:v>保持当前盟，减少迁移成本</x:v>
      </x:c>
    </x:row>
    <x:row r="34" ht="20" customHeight="1">
      <x:c r="A34" s="26" t="str">
        <x:f>IF('迁盟总表'!B325="","",'迁盟总表'!B325)</x:f>
        <x:v>蚂蚁森林</x:v>
      </x:c>
      <x:c r="B34" s="27" t="str">
        <x:f>IF('迁盟总表'!C325="","",'迁盟总表'!C325)</x:f>
        <x:v>燕云</x:v>
      </x:c>
      <x:c r="C34" s="67" t="str">
        <x:f>IF('迁盟总表'!D325="","",'迁盟总表'!D325)</x:f>
        <x:v>燕云</x:v>
      </x:c>
      <x:c r="D34" s="27" t="str">
        <x:f>IF('迁盟总表'!E325="","",'迁盟总表'!E325)</x:f>
        <x:v>留盟</x:v>
      </x:c>
      <x:c r="E34" s="40" t="n">
        <x:f>IF('迁盟总表'!Q325="","",'迁盟总表'!Q325)</x:f>
        <x:v>1001356182</x:v>
      </x:c>
      <x:c r="F34" s="40" t="n">
        <x:f>IF('迁盟总表'!R325="","",'迁盟总表'!R325)</x:f>
        <x:v>50227987</x:v>
      </x:c>
      <x:c r="G34" s="40" t="n">
        <x:f>IF('迁盟总表'!S325="","",'迁盟总表'!S325)</x:f>
        <x:v>115071015</x:v>
      </x:c>
      <x:c r="H34" s="37" t="str">
        <x:f>IF('迁盟总表'!H325="","",'迁盟总表'!H325)</x:f>
      </x:c>
      <x:c r="I34" s="37" t="str">
        <x:f>IF('迁盟总表'!I325="","",'迁盟总表'!I325)</x:f>
      </x:c>
      <x:c r="J34" s="40" t="str">
        <x:f>IF('迁盟总表'!J325="","",'迁盟总表'!J325)</x:f>
      </x:c>
      <x:c r="K34" s="40" t="str">
        <x:f>IF('迁盟总表'!K325="","",'迁盟总表'!K325)</x:f>
      </x:c>
      <x:c r="L34" s="40" t="str">
        <x:f>IF('迁盟总表'!L325="","",'迁盟总表'!L325)</x:f>
      </x:c>
      <x:c r="M34" s="40" t="str">
        <x:f>IF('迁盟总表'!M325="","",'迁盟总表'!M325)</x:f>
      </x:c>
      <x:c r="N34" s="40" t="str">
        <x:f>IF('迁盟总表'!N325="","",'迁盟总表'!N325)</x:f>
      </x:c>
      <x:c r="O34" s="40" t="str">
        <x:f>IF('迁盟总表'!O325="","",'迁盟总表'!O325)</x:f>
      </x:c>
      <x:c r="P34" s="40" t="str">
        <x:f>IF('迁盟总表'!P325="","",'迁盟总表'!P325)</x:f>
      </x:c>
      <x:c r="Q34" s="43" t="n">
        <x:f>IF('迁盟总表'!X325="","",'迁盟总表'!X325)</x:f>
        <x:v>57.6</x:v>
      </x:c>
      <x:c r="R34" s="27" t="n">
        <x:f>IF('迁盟总表'!Y325="","",'迁盟总表'!Y325)</x:f>
        <x:v>296</x:v>
      </x:c>
      <x:c r="S34" s="55" t="str">
        <x:f>IF('迁盟总表'!Z325="","",'迁盟总表'!Z325)</x:f>
        <x:v>保持当前盟，减少迁移成本</x:v>
      </x:c>
    </x:row>
    <x:row r="35" ht="20" customHeight="1">
      <x:c r="A35" s="26" t="str">
        <x:f>IF('迁盟总表'!B326="","",'迁盟总表'!B326)</x:f>
        <x:v>执迷不悔</x:v>
      </x:c>
      <x:c r="B35" s="27" t="str">
        <x:f>IF('迁盟总表'!C326="","",'迁盟总表'!C326)</x:f>
        <x:v>燕云</x:v>
      </x:c>
      <x:c r="C35" s="67" t="str">
        <x:f>IF('迁盟总表'!D326="","",'迁盟总表'!D326)</x:f>
        <x:v>燕云</x:v>
      </x:c>
      <x:c r="D35" s="27" t="str">
        <x:f>IF('迁盟总表'!E326="","",'迁盟总表'!E326)</x:f>
        <x:v>留盟</x:v>
      </x:c>
      <x:c r="E35" s="40" t="n">
        <x:f>IF('迁盟总表'!Q326="","",'迁盟总表'!Q326)</x:f>
        <x:v>599573160</x:v>
      </x:c>
      <x:c r="F35" s="40" t="n">
        <x:f>IF('迁盟总表'!R326="","",'迁盟总表'!R326)</x:f>
        <x:v>50655029</x:v>
      </x:c>
      <x:c r="G35" s="40" t="n">
        <x:f>IF('迁盟总表'!S326="","",'迁盟总表'!S326)</x:f>
        <x:v>112915067</x:v>
      </x:c>
      <x:c r="H35" s="37" t="str">
        <x:f>IF('迁盟总表'!H326="","",'迁盟总表'!H326)</x:f>
      </x:c>
      <x:c r="I35" s="37" t="str">
        <x:f>IF('迁盟总表'!I326="","",'迁盟总表'!I326)</x:f>
      </x:c>
      <x:c r="J35" s="40" t="str">
        <x:f>IF('迁盟总表'!J326="","",'迁盟总表'!J326)</x:f>
      </x:c>
      <x:c r="K35" s="40" t="str">
        <x:f>IF('迁盟总表'!K326="","",'迁盟总表'!K326)</x:f>
      </x:c>
      <x:c r="L35" s="40" t="str">
        <x:f>IF('迁盟总表'!L326="","",'迁盟总表'!L326)</x:f>
      </x:c>
      <x:c r="M35" s="40" t="str">
        <x:f>IF('迁盟总表'!M326="","",'迁盟总表'!M326)</x:f>
      </x:c>
      <x:c r="N35" s="40" t="str">
        <x:f>IF('迁盟总表'!N326="","",'迁盟总表'!N326)</x:f>
      </x:c>
      <x:c r="O35" s="40" t="str">
        <x:f>IF('迁盟总表'!O326="","",'迁盟总表'!O326)</x:f>
      </x:c>
      <x:c r="P35" s="40" t="str">
        <x:f>IF('迁盟总表'!P326="","",'迁盟总表'!P326)</x:f>
      </x:c>
      <x:c r="Q35" s="43" t="n">
        <x:f>IF('迁盟总表'!X326="","",'迁盟总表'!X326)</x:f>
        <x:v>56.6</x:v>
      </x:c>
      <x:c r="R35" s="27" t="n">
        <x:f>IF('迁盟总表'!Y326="","",'迁盟总表'!Y326)</x:f>
        <x:v>297</x:v>
      </x:c>
      <x:c r="S35" s="55" t="str">
        <x:f>IF('迁盟总表'!Z326="","",'迁盟总表'!Z326)</x:f>
        <x:v>保持当前盟，减少迁移成本</x:v>
      </x:c>
    </x:row>
    <x:row r="36" ht="20" customHeight="1">
      <x:c r="A36" s="26" t="str">
        <x:f>IF('迁盟总表'!B327="","",'迁盟总表'!B327)</x:f>
        <x:v>小香香</x:v>
      </x:c>
      <x:c r="B36" s="27" t="str">
        <x:f>IF('迁盟总表'!C327="","",'迁盟总表'!C327)</x:f>
        <x:v>燕云</x:v>
      </x:c>
      <x:c r="C36" s="67" t="str">
        <x:f>IF('迁盟总表'!D327="","",'迁盟总表'!D327)</x:f>
        <x:v>燕云</x:v>
      </x:c>
      <x:c r="D36" s="27" t="str">
        <x:f>IF('迁盟总表'!E327="","",'迁盟总表'!E327)</x:f>
        <x:v>留盟</x:v>
      </x:c>
      <x:c r="E36" s="40" t="n">
        <x:f>IF('迁盟总表'!Q327="","",'迁盟总表'!Q327)</x:f>
        <x:v>192547420</x:v>
      </x:c>
      <x:c r="F36" s="40" t="n">
        <x:f>IF('迁盟总表'!R327="","",'迁盟总表'!R327)</x:f>
        <x:v>50368914</x:v>
      </x:c>
      <x:c r="G36" s="40" t="n">
        <x:f>IF('迁盟总表'!S327="","",'迁盟总表'!S327)</x:f>
        <x:v>104421719</x:v>
      </x:c>
      <x:c r="H36" s="37" t="str">
        <x:f>IF('迁盟总表'!H327="","",'迁盟总表'!H327)</x:f>
      </x:c>
      <x:c r="I36" s="37" t="str">
        <x:f>IF('迁盟总表'!I327="","",'迁盟总表'!I327)</x:f>
      </x:c>
      <x:c r="J36" s="40" t="str">
        <x:f>IF('迁盟总表'!J327="","",'迁盟总表'!J327)</x:f>
      </x:c>
      <x:c r="K36" s="40" t="str">
        <x:f>IF('迁盟总表'!K327="","",'迁盟总表'!K327)</x:f>
      </x:c>
      <x:c r="L36" s="40" t="str">
        <x:f>IF('迁盟总表'!L327="","",'迁盟总表'!L327)</x:f>
      </x:c>
      <x:c r="M36" s="40" t="str">
        <x:f>IF('迁盟总表'!M327="","",'迁盟总表'!M327)</x:f>
      </x:c>
      <x:c r="N36" s="40" t="str">
        <x:f>IF('迁盟总表'!N327="","",'迁盟总表'!N327)</x:f>
      </x:c>
      <x:c r="O36" s="40" t="str">
        <x:f>IF('迁盟总表'!O327="","",'迁盟总表'!O327)</x:f>
      </x:c>
      <x:c r="P36" s="40" t="str">
        <x:f>IF('迁盟总表'!P327="","",'迁盟总表'!P327)</x:f>
      </x:c>
      <x:c r="Q36" s="43" t="n">
        <x:f>IF('迁盟总表'!X327="","",'迁盟总表'!X327)</x:f>
        <x:v>54.1</x:v>
      </x:c>
      <x:c r="R36" s="27" t="n">
        <x:f>IF('迁盟总表'!Y327="","",'迁盟总表'!Y327)</x:f>
        <x:v>299</x:v>
      </x:c>
      <x:c r="S36" s="55" t="str">
        <x:f>IF('迁盟总表'!Z327="","",'迁盟总表'!Z327)</x:f>
        <x:v>保持当前盟，减少迁移成本</x:v>
      </x:c>
    </x:row>
    <x:row r="37" ht="20" customHeight="1">
      <x:c r="A37" s="26" t="str">
        <x:f>IF('迁盟总表'!B328="","",'迁盟总表'!B328)</x:f>
        <x:v>没想过</x:v>
      </x:c>
      <x:c r="B37" s="27" t="str">
        <x:f>IF('迁盟总表'!C328="","",'迁盟总表'!C328)</x:f>
        <x:v>兰亭</x:v>
      </x:c>
      <x:c r="C37" s="67" t="str">
        <x:f>IF('迁盟总表'!D328="","",'迁盟总表'!D328)</x:f>
        <x:v>燕云</x:v>
      </x:c>
      <x:c r="D37" s="27" t="str">
        <x:f>IF('迁盟总表'!E328="","",'迁盟总表'!E328)</x:f>
        <x:v>兰亭→燕云</x:v>
      </x:c>
      <x:c r="E37" s="40" t="n">
        <x:f>IF('迁盟总表'!Q328="","",'迁盟总表'!Q328)</x:f>
        <x:v>29359140</x:v>
      </x:c>
      <x:c r="F37" s="40" t="n">
        <x:f>IF('迁盟总表'!R328="","",'迁盟总表'!R328)</x:f>
        <x:v>55951016</x:v>
      </x:c>
      <x:c r="G37" s="40" t="n">
        <x:f>IF('迁盟总表'!S328="","",'迁盟总表'!S328)</x:f>
        <x:v>160003850</x:v>
      </x:c>
      <x:c r="H37" s="37" t="str">
        <x:f>IF('迁盟总表'!H328="","",'迁盟总表'!H328)</x:f>
      </x:c>
      <x:c r="I37" s="37" t="str">
        <x:f>IF('迁盟总表'!I328="","",'迁盟总表'!I328)</x:f>
      </x:c>
      <x:c r="J37" s="40" t="str">
        <x:f>IF('迁盟总表'!J328="","",'迁盟总表'!J328)</x:f>
      </x:c>
      <x:c r="K37" s="40" t="str">
        <x:f>IF('迁盟总表'!K328="","",'迁盟总表'!K328)</x:f>
      </x:c>
      <x:c r="L37" s="40" t="str">
        <x:f>IF('迁盟总表'!L328="","",'迁盟总表'!L328)</x:f>
      </x:c>
      <x:c r="M37" s="40" t="str">
        <x:f>IF('迁盟总表'!M328="","",'迁盟总表'!M328)</x:f>
      </x:c>
      <x:c r="N37" s="40" t="str">
        <x:f>IF('迁盟总表'!N328="","",'迁盟总表'!N328)</x:f>
      </x:c>
      <x:c r="O37" s="40" t="str">
        <x:f>IF('迁盟总表'!O328="","",'迁盟总表'!O328)</x:f>
      </x:c>
      <x:c r="P37" s="40" t="str">
        <x:f>IF('迁盟总表'!P328="","",'迁盟总表'!P328)</x:f>
      </x:c>
      <x:c r="Q37" s="43" t="n">
        <x:f>IF('迁盟总表'!X328="","",'迁盟总表'!X328)</x:f>
        <x:v>54</x:v>
      </x:c>
      <x:c r="R37" s="27" t="n">
        <x:f>IF('迁盟总表'!Y328="","",'迁盟总表'!Y328)</x:f>
        <x:v>300</x:v>
      </x:c>
      <x:c r="S37" s="55" t="str">
        <x:f>IF('迁盟总表'!Z328="","",'迁盟总表'!Z328)</x:f>
        <x:v>为一盟战斗重组和盟容量平衡进行对调</x:v>
      </x:c>
    </x:row>
    <x:row r="38" ht="20" customHeight="1">
      <x:c r="A38" s="26" t="str">
        <x:f>IF('迁盟总表'!B329="","",'迁盟总表'!B329)</x:f>
        <x:v>默资源</x:v>
      </x:c>
      <x:c r="B38" s="27" t="str">
        <x:f>IF('迁盟总表'!C329="","",'迁盟总表'!C329)</x:f>
        <x:v>燕云</x:v>
      </x:c>
      <x:c r="C38" s="67" t="str">
        <x:f>IF('迁盟总表'!D329="","",'迁盟总表'!D329)</x:f>
        <x:v>燕云</x:v>
      </x:c>
      <x:c r="D38" s="27" t="str">
        <x:f>IF('迁盟总表'!E329="","",'迁盟总表'!E329)</x:f>
        <x:v>留盟</x:v>
      </x:c>
      <x:c r="E38" s="40" t="n">
        <x:f>IF('迁盟总表'!Q329="","",'迁盟总表'!Q329)</x:f>
        <x:v>94251552</x:v>
      </x:c>
      <x:c r="F38" s="40" t="n">
        <x:f>IF('迁盟总表'!R329="","",'迁盟总表'!R329)</x:f>
        <x:v>31155911</x:v>
      </x:c>
      <x:c r="G38" s="40" t="n">
        <x:f>IF('迁盟总表'!S329="","",'迁盟总表'!S329)</x:f>
        <x:v>55158973</x:v>
      </x:c>
      <x:c r="H38" s="37" t="str">
        <x:f>IF('迁盟总表'!H329="","",'迁盟总表'!H329)</x:f>
      </x:c>
      <x:c r="I38" s="37" t="str">
        <x:f>IF('迁盟总表'!I329="","",'迁盟总表'!I329)</x:f>
      </x:c>
      <x:c r="J38" s="40" t="str">
        <x:f>IF('迁盟总表'!J329="","",'迁盟总表'!J329)</x:f>
      </x:c>
      <x:c r="K38" s="40" t="str">
        <x:f>IF('迁盟总表'!K329="","",'迁盟总表'!K329)</x:f>
      </x:c>
      <x:c r="L38" s="40" t="str">
        <x:f>IF('迁盟总表'!L329="","",'迁盟总表'!L329)</x:f>
      </x:c>
      <x:c r="M38" s="40" t="str">
        <x:f>IF('迁盟总表'!M329="","",'迁盟总表'!M329)</x:f>
      </x:c>
      <x:c r="N38" s="40" t="str">
        <x:f>IF('迁盟总表'!N329="","",'迁盟总表'!N329)</x:f>
      </x:c>
      <x:c r="O38" s="40" t="str">
        <x:f>IF('迁盟总表'!O329="","",'迁盟总表'!O329)</x:f>
      </x:c>
      <x:c r="P38" s="40" t="str">
        <x:f>IF('迁盟总表'!P329="","",'迁盟总表'!P329)</x:f>
      </x:c>
      <x:c r="Q38" s="43" t="n">
        <x:f>IF('迁盟总表'!X329="","",'迁盟总表'!X329)</x:f>
        <x:v>45.7</x:v>
      </x:c>
      <x:c r="R38" s="27" t="n">
        <x:f>IF('迁盟总表'!Y329="","",'迁盟总表'!Y329)</x:f>
        <x:v>307</x:v>
      </x:c>
      <x:c r="S38" s="55" t="str">
        <x:f>IF('迁盟总表'!Z329="","",'迁盟总表'!Z329)</x:f>
        <x:v>保持当前盟，减少迁移成本</x:v>
      </x:c>
    </x:row>
    <x:row r="39" ht="20" customHeight="1">
      <x:c r="A39" s="26" t="str">
        <x:f>IF('迁盟总表'!B330="","",'迁盟总表'!B330)</x:f>
        <x:v>游戏玩家</x:v>
      </x:c>
      <x:c r="B39" s="27" t="str">
        <x:f>IF('迁盟总表'!C330="","",'迁盟总表'!C330)</x:f>
        <x:v>燕云</x:v>
      </x:c>
      <x:c r="C39" s="67" t="str">
        <x:f>IF('迁盟总表'!D330="","",'迁盟总表'!D330)</x:f>
        <x:v>燕云</x:v>
      </x:c>
      <x:c r="D39" s="27" t="str">
        <x:f>IF('迁盟总表'!E330="","",'迁盟总表'!E330)</x:f>
        <x:v>留盟</x:v>
      </x:c>
      <x:c r="E39" s="40" t="n">
        <x:f>IF('迁盟总表'!Q330="","",'迁盟总表'!Q330)</x:f>
        <x:v>58328556</x:v>
      </x:c>
      <x:c r="F39" s="40" t="n">
        <x:f>IF('迁盟总表'!R330="","",'迁盟总表'!R330)</x:f>
        <x:v>26241205</x:v>
      </x:c>
      <x:c r="G39" s="40" t="n">
        <x:f>IF('迁盟总表'!S330="","",'迁盟总表'!S330)</x:f>
        <x:v>38585904</x:v>
      </x:c>
      <x:c r="H39" s="37" t="str">
        <x:f>IF('迁盟总表'!H330="","",'迁盟总表'!H330)</x:f>
      </x:c>
      <x:c r="I39" s="37" t="str">
        <x:f>IF('迁盟总表'!I330="","",'迁盟总表'!I330)</x:f>
      </x:c>
      <x:c r="J39" s="40" t="str">
        <x:f>IF('迁盟总表'!J330="","",'迁盟总表'!J330)</x:f>
      </x:c>
      <x:c r="K39" s="40" t="str">
        <x:f>IF('迁盟总表'!K330="","",'迁盟总表'!K330)</x:f>
      </x:c>
      <x:c r="L39" s="40" t="str">
        <x:f>IF('迁盟总表'!L330="","",'迁盟总表'!L330)</x:f>
      </x:c>
      <x:c r="M39" s="40" t="str">
        <x:f>IF('迁盟总表'!M330="","",'迁盟总表'!M330)</x:f>
      </x:c>
      <x:c r="N39" s="40" t="str">
        <x:f>IF('迁盟总表'!N330="","",'迁盟总表'!N330)</x:f>
      </x:c>
      <x:c r="O39" s="40" t="str">
        <x:f>IF('迁盟总表'!O330="","",'迁盟总表'!O330)</x:f>
      </x:c>
      <x:c r="P39" s="40" t="str">
        <x:f>IF('迁盟总表'!P330="","",'迁盟总表'!P330)</x:f>
      </x:c>
      <x:c r="Q39" s="43" t="n">
        <x:f>IF('迁盟总表'!X330="","",'迁盟总表'!X330)</x:f>
        <x:v>42.8</x:v>
      </x:c>
      <x:c r="R39" s="27" t="n">
        <x:f>IF('迁盟总表'!Y330="","",'迁盟总表'!Y330)</x:f>
        <x:v>308</x:v>
      </x:c>
      <x:c r="S39" s="55" t="str">
        <x:f>IF('迁盟总表'!Z330="","",'迁盟总表'!Z330)</x:f>
        <x:v>保持当前盟，减少迁移成本</x:v>
      </x:c>
    </x:row>
    <x:row r="40" ht="20" customHeight="1">
      <x:c r="A40" s="26" t="str">
        <x:f>IF('迁盟总表'!B331="","",'迁盟总表'!B331)</x:f>
        <x:v>小千与</x:v>
      </x:c>
      <x:c r="B40" s="27" t="str">
        <x:f>IF('迁盟总表'!C331="","",'迁盟总表'!C331)</x:f>
        <x:v>燕云</x:v>
      </x:c>
      <x:c r="C40" s="67" t="str">
        <x:f>IF('迁盟总表'!D331="","",'迁盟总表'!D331)</x:f>
        <x:v>燕云</x:v>
      </x:c>
      <x:c r="D40" s="27" t="str">
        <x:f>IF('迁盟总表'!E331="","",'迁盟总表'!E331)</x:f>
        <x:v>留盟</x:v>
      </x:c>
      <x:c r="E40" s="40" t="n">
        <x:f>IF('迁盟总表'!Q331="","",'迁盟总表'!Q331)</x:f>
        <x:v>5312500</x:v>
      </x:c>
      <x:c r="F40" s="40" t="n">
        <x:f>IF('迁盟总表'!R331="","",'迁盟总表'!R331)</x:f>
        <x:v>31520464</x:v>
      </x:c>
      <x:c r="G40" s="40" t="n">
        <x:f>IF('迁盟总表'!S331="","",'迁盟总表'!S331)</x:f>
        <x:v>57251400</x:v>
      </x:c>
      <x:c r="H40" s="37" t="str">
        <x:f>IF('迁盟总表'!H331="","",'迁盟总表'!H331)</x:f>
      </x:c>
      <x:c r="I40" s="37" t="str">
        <x:f>IF('迁盟总表'!I331="","",'迁盟总表'!I331)</x:f>
      </x:c>
      <x:c r="J40" s="40" t="str">
        <x:f>IF('迁盟总表'!J331="","",'迁盟总表'!J331)</x:f>
      </x:c>
      <x:c r="K40" s="40" t="str">
        <x:f>IF('迁盟总表'!K331="","",'迁盟总表'!K331)</x:f>
      </x:c>
      <x:c r="L40" s="40" t="str">
        <x:f>IF('迁盟总表'!L331="","",'迁盟总表'!L331)</x:f>
      </x:c>
      <x:c r="M40" s="40" t="str">
        <x:f>IF('迁盟总表'!M331="","",'迁盟总表'!M331)</x:f>
      </x:c>
      <x:c r="N40" s="40" t="str">
        <x:f>IF('迁盟总表'!N331="","",'迁盟总表'!N331)</x:f>
      </x:c>
      <x:c r="O40" s="40" t="str">
        <x:f>IF('迁盟总表'!O331="","",'迁盟总表'!O331)</x:f>
      </x:c>
      <x:c r="P40" s="40" t="str">
        <x:f>IF('迁盟总表'!P331="","",'迁盟总表'!P331)</x:f>
      </x:c>
      <x:c r="Q40" s="43" t="n">
        <x:f>IF('迁盟总表'!X331="","",'迁盟总表'!X331)</x:f>
        <x:v>40.4</x:v>
      </x:c>
      <x:c r="R40" s="27" t="n">
        <x:f>IF('迁盟总表'!Y331="","",'迁盟总表'!Y331)</x:f>
        <x:v>311</x:v>
      </x:c>
      <x:c r="S40" s="55" t="str">
        <x:f>IF('迁盟总表'!Z331="","",'迁盟总表'!Z331)</x:f>
        <x:v>保持当前盟，减少迁移成本</x:v>
      </x:c>
    </x:row>
    <x:row r="41" ht="20" customHeight="1">
      <x:c r="A41" s="26" t="str">
        <x:f>IF('迁盟总表'!B332="","",'迁盟总表'!B332)</x:f>
        <x:v>我是无辜的</x:v>
      </x:c>
      <x:c r="B41" s="27" t="str">
        <x:f>IF('迁盟总表'!C332="","",'迁盟总表'!C332)</x:f>
        <x:v>燕云</x:v>
      </x:c>
      <x:c r="C41" s="67" t="str">
        <x:f>IF('迁盟总表'!D332="","",'迁盟总表'!D332)</x:f>
        <x:v>燕云</x:v>
      </x:c>
      <x:c r="D41" s="27" t="str">
        <x:f>IF('迁盟总表'!E332="","",'迁盟总表'!E332)</x:f>
        <x:v>留盟</x:v>
      </x:c>
      <x:c r="E41" s="40" t="str">
        <x:f>IF('迁盟总表'!Q332="","",'迁盟总表'!Q332)</x:f>
      </x:c>
      <x:c r="F41" s="40" t="n">
        <x:f>IF('迁盟总表'!R332="","",'迁盟总表'!R332)</x:f>
        <x:v>92503025</x:v>
      </x:c>
      <x:c r="G41" s="40" t="n">
        <x:f>IF('迁盟总表'!S332="","",'迁盟总表'!S332)</x:f>
        <x:v>223496197</x:v>
      </x:c>
      <x:c r="H41" s="37" t="n">
        <x:f>IF('迁盟总表'!H332="","",'迁盟总表'!H332)</x:f>
        <x:v>28.1</x:v>
      </x:c>
      <x:c r="I41" s="37" t="n">
        <x:f>IF('迁盟总表'!I332="","",'迁盟总表'!I332)</x:f>
        <x:v>24.6</x:v>
      </x:c>
      <x:c r="J41" s="40" t="n">
        <x:f>IF('迁盟总表'!J332="","",'迁盟总表'!J332)</x:f>
        <x:v>772</x:v>
      </x:c>
      <x:c r="K41" s="40" t="n">
        <x:f>IF('迁盟总表'!K332="","",'迁盟总表'!K332)</x:f>
        <x:v>913</x:v>
      </x:c>
      <x:c r="L41" s="40" t="n">
        <x:f>IF('迁盟总表'!L332="","",'迁盟总表'!L332)</x:f>
        <x:v>642</x:v>
      </x:c>
      <x:c r="M41" s="40" t="n">
        <x:f>IF('迁盟总表'!M332="","",'迁盟总表'!M332)</x:f>
        <x:v>696</x:v>
      </x:c>
      <x:c r="N41" s="40" t="n">
        <x:f>IF('迁盟总表'!N332="","",'迁盟总表'!N332)</x:f>
        <x:v>756</x:v>
      </x:c>
      <x:c r="O41" s="40" t="n">
        <x:f>IF('迁盟总表'!O332="","",'迁盟总表'!O332)</x:f>
        <x:v>731</x:v>
      </x:c>
      <x:c r="P41" s="40" t="n">
        <x:f>IF('迁盟总表'!P332="","",'迁盟总表'!P332)</x:f>
        <x:v>4510</x:v>
      </x:c>
      <x:c r="Q41" s="43" t="n">
        <x:f>IF('迁盟总表'!X332="","",'迁盟总表'!X332)</x:f>
        <x:v>37.5</x:v>
      </x:c>
      <x:c r="R41" s="27" t="n">
        <x:f>IF('迁盟总表'!Y332="","",'迁盟总表'!Y332)</x:f>
        <x:v>312</x:v>
      </x:c>
      <x:c r="S41" s="55" t="str">
        <x:f>IF('迁盟总表'!Z332="","",'迁盟总表'!Z332)</x:f>
        <x:v>保持当前盟，减少迁移成本</x:v>
      </x:c>
    </x:row>
    <x:row r="42" ht="20" customHeight="1">
      <x:c r="A42" s="26" t="str">
        <x:f>IF('迁盟总表'!B333="","",'迁盟总表'!B333)</x:f>
        <x:v>许诺是个小虾米</x:v>
      </x:c>
      <x:c r="B42" s="27" t="str">
        <x:f>IF('迁盟总表'!C333="","",'迁盟总表'!C333)</x:f>
        <x:v>燕云</x:v>
      </x:c>
      <x:c r="C42" s="67" t="str">
        <x:f>IF('迁盟总表'!D333="","",'迁盟总表'!D333)</x:f>
        <x:v>燕云</x:v>
      </x:c>
      <x:c r="D42" s="27" t="str">
        <x:f>IF('迁盟总表'!E333="","",'迁盟总表'!E333)</x:f>
        <x:v>留盟</x:v>
      </x:c>
      <x:c r="E42" s="40" t="str">
        <x:f>IF('迁盟总表'!Q333="","",'迁盟总表'!Q333)</x:f>
      </x:c>
      <x:c r="F42" s="40" t="n">
        <x:f>IF('迁盟总表'!R333="","",'迁盟总表'!R333)</x:f>
        <x:v>62774341</x:v>
      </x:c>
      <x:c r="G42" s="40" t="n">
        <x:f>IF('迁盟总表'!S333="","",'迁盟总表'!S333)</x:f>
        <x:v>142578913</x:v>
      </x:c>
      <x:c r="H42" s="37" t="str">
        <x:f>IF('迁盟总表'!H333="","",'迁盟总表'!H333)</x:f>
      </x:c>
      <x:c r="I42" s="37" t="str">
        <x:f>IF('迁盟总表'!I333="","",'迁盟总表'!I333)</x:f>
      </x:c>
      <x:c r="J42" s="40" t="str">
        <x:f>IF('迁盟总表'!J333="","",'迁盟总表'!J333)</x:f>
      </x:c>
      <x:c r="K42" s="40" t="str">
        <x:f>IF('迁盟总表'!K333="","",'迁盟总表'!K333)</x:f>
      </x:c>
      <x:c r="L42" s="40" t="str">
        <x:f>IF('迁盟总表'!L333="","",'迁盟总表'!L333)</x:f>
      </x:c>
      <x:c r="M42" s="40" t="str">
        <x:f>IF('迁盟总表'!M333="","",'迁盟总表'!M333)</x:f>
      </x:c>
      <x:c r="N42" s="40" t="str">
        <x:f>IF('迁盟总表'!N333="","",'迁盟总表'!N333)</x:f>
      </x:c>
      <x:c r="O42" s="40" t="str">
        <x:f>IF('迁盟总表'!O333="","",'迁盟总表'!O333)</x:f>
      </x:c>
      <x:c r="P42" s="40" t="str">
        <x:f>IF('迁盟总表'!P333="","",'迁盟总表'!P333)</x:f>
      </x:c>
      <x:c r="Q42" s="43" t="n">
        <x:f>IF('迁盟总表'!X333="","",'迁盟总表'!X333)</x:f>
        <x:v>22.7</x:v>
      </x:c>
      <x:c r="R42" s="27" t="n">
        <x:f>IF('迁盟总表'!Y333="","",'迁盟总表'!Y333)</x:f>
        <x:v>320</x:v>
      </x:c>
      <x:c r="S42" s="55" t="str">
        <x:f>IF('迁盟总表'!Z333="","",'迁盟总表'!Z333)</x:f>
        <x:v>保持当前盟，减少迁移成本</x:v>
      </x:c>
    </x:row>
    <x:row r="43" ht="20" customHeight="1">
      <x:c r="A43" s="26" t="str">
        <x:f>IF('迁盟总表'!B334="","",'迁盟总表'!B334)</x:f>
        <x:v>上官十一</x:v>
      </x:c>
      <x:c r="B43" s="27" t="str">
        <x:f>IF('迁盟总表'!C334="","",'迁盟总表'!C334)</x:f>
        <x:v>燕云</x:v>
      </x:c>
      <x:c r="C43" s="67" t="str">
        <x:f>IF('迁盟总表'!D334="","",'迁盟总表'!D334)</x:f>
        <x:v>燕云</x:v>
      </x:c>
      <x:c r="D43" s="27" t="str">
        <x:f>IF('迁盟总表'!E334="","",'迁盟总表'!E334)</x:f>
        <x:v>留盟</x:v>
      </x:c>
      <x:c r="E43" s="40" t="str">
        <x:f>IF('迁盟总表'!Q334="","",'迁盟总表'!Q334)</x:f>
      </x:c>
      <x:c r="F43" s="40" t="n">
        <x:f>IF('迁盟总表'!R334="","",'迁盟总表'!R334)</x:f>
        <x:v>60387084</x:v>
      </x:c>
      <x:c r="G43" s="40" t="n">
        <x:f>IF('迁盟总表'!S334="","",'迁盟总表'!S334)</x:f>
        <x:v>147139128</x:v>
      </x:c>
      <x:c r="H43" s="37" t="str">
        <x:f>IF('迁盟总表'!H334="","",'迁盟总表'!H334)</x:f>
      </x:c>
      <x:c r="I43" s="37" t="str">
        <x:f>IF('迁盟总表'!I334="","",'迁盟总表'!I334)</x:f>
      </x:c>
      <x:c r="J43" s="40" t="str">
        <x:f>IF('迁盟总表'!J334="","",'迁盟总表'!J334)</x:f>
      </x:c>
      <x:c r="K43" s="40" t="str">
        <x:f>IF('迁盟总表'!K334="","",'迁盟总表'!K334)</x:f>
      </x:c>
      <x:c r="L43" s="40" t="str">
        <x:f>IF('迁盟总表'!L334="","",'迁盟总表'!L334)</x:f>
      </x:c>
      <x:c r="M43" s="40" t="str">
        <x:f>IF('迁盟总表'!M334="","",'迁盟总表'!M334)</x:f>
      </x:c>
      <x:c r="N43" s="40" t="str">
        <x:f>IF('迁盟总表'!N334="","",'迁盟总表'!N334)</x:f>
      </x:c>
      <x:c r="O43" s="40" t="str">
        <x:f>IF('迁盟总表'!O334="","",'迁盟总表'!O334)</x:f>
      </x:c>
      <x:c r="P43" s="40" t="str">
        <x:f>IF('迁盟总表'!P334="","",'迁盟总表'!P334)</x:f>
      </x:c>
      <x:c r="Q43" s="43" t="n">
        <x:f>IF('迁盟总表'!X334="","",'迁盟总表'!X334)</x:f>
        <x:v>22.1</x:v>
      </x:c>
      <x:c r="R43" s="27" t="n">
        <x:f>IF('迁盟总表'!Y334="","",'迁盟总表'!Y334)</x:f>
        <x:v>322</x:v>
      </x:c>
      <x:c r="S43" s="55" t="str">
        <x:f>IF('迁盟总表'!Z334="","",'迁盟总表'!Z334)</x:f>
        <x:v>保持当前盟，减少迁移成本</x:v>
      </x:c>
    </x:row>
    <x:row r="44" ht="20" customHeight="1">
      <x:c r="A44" s="26" t="str">
        <x:f>IF('迁盟总表'!B335="","",'迁盟总表'!B335)</x:f>
        <x:v>迷你秋啾啾</x:v>
      </x:c>
      <x:c r="B44" s="27" t="str">
        <x:f>IF('迁盟总表'!C335="","",'迁盟总表'!C335)</x:f>
        <x:v>燕云</x:v>
      </x:c>
      <x:c r="C44" s="67" t="str">
        <x:f>IF('迁盟总表'!D335="","",'迁盟总表'!D335)</x:f>
        <x:v>燕云</x:v>
      </x:c>
      <x:c r="D44" s="27" t="str">
        <x:f>IF('迁盟总表'!E335="","",'迁盟总表'!E335)</x:f>
        <x:v>留盟</x:v>
      </x:c>
      <x:c r="E44" s="40" t="str">
        <x:f>IF('迁盟总表'!Q335="","",'迁盟总表'!Q335)</x:f>
      </x:c>
      <x:c r="F44" s="40" t="n">
        <x:f>IF('迁盟总表'!R335="","",'迁盟总表'!R335)</x:f>
        <x:v>50794919</x:v>
      </x:c>
      <x:c r="G44" s="40" t="n">
        <x:f>IF('迁盟总表'!S335="","",'迁盟总表'!S335)</x:f>
        <x:v>124991551</x:v>
      </x:c>
      <x:c r="H44" s="37" t="str">
        <x:f>IF('迁盟总表'!H335="","",'迁盟总表'!H335)</x:f>
      </x:c>
      <x:c r="I44" s="37" t="str">
        <x:f>IF('迁盟总表'!I335="","",'迁盟总表'!I335)</x:f>
      </x:c>
      <x:c r="J44" s="40" t="str">
        <x:f>IF('迁盟总表'!J335="","",'迁盟总表'!J335)</x:f>
      </x:c>
      <x:c r="K44" s="40" t="str">
        <x:f>IF('迁盟总表'!K335="","",'迁盟总表'!K335)</x:f>
      </x:c>
      <x:c r="L44" s="40" t="str">
        <x:f>IF('迁盟总表'!L335="","",'迁盟总表'!L335)</x:f>
      </x:c>
      <x:c r="M44" s="40" t="str">
        <x:f>IF('迁盟总表'!M335="","",'迁盟总表'!M335)</x:f>
      </x:c>
      <x:c r="N44" s="40" t="str">
        <x:f>IF('迁盟总表'!N335="","",'迁盟总表'!N335)</x:f>
      </x:c>
      <x:c r="O44" s="40" t="str">
        <x:f>IF('迁盟总表'!O335="","",'迁盟总表'!O335)</x:f>
      </x:c>
      <x:c r="P44" s="40" t="str">
        <x:f>IF('迁盟总表'!P335="","",'迁盟总表'!P335)</x:f>
      </x:c>
      <x:c r="Q44" s="43" t="n">
        <x:f>IF('迁盟总表'!X335="","",'迁盟总表'!X335)</x:f>
        <x:v>18.6</x:v>
      </x:c>
      <x:c r="R44" s="27" t="n">
        <x:f>IF('迁盟总表'!Y335="","",'迁盟总表'!Y335)</x:f>
        <x:v>326</x:v>
      </x:c>
      <x:c r="S44" s="55" t="str">
        <x:f>IF('迁盟总表'!Z335="","",'迁盟总表'!Z335)</x:f>
        <x:v>保持当前盟，减少迁移成本</x:v>
      </x:c>
    </x:row>
    <x:row r="45" ht="20" customHeight="1">
      <x:c r="A45" s="26" t="str">
        <x:f>IF('迁盟总表'!B336="","",'迁盟总表'!B336)</x:f>
        <x:v>机器人大战木头人</x:v>
      </x:c>
      <x:c r="B45" s="27" t="str">
        <x:f>IF('迁盟总表'!C336="","",'迁盟总表'!C336)</x:f>
        <x:v>燕云</x:v>
      </x:c>
      <x:c r="C45" s="67" t="str">
        <x:f>IF('迁盟总表'!D336="","",'迁盟总表'!D336)</x:f>
        <x:v>燕云</x:v>
      </x:c>
      <x:c r="D45" s="27" t="str">
        <x:f>IF('迁盟总表'!E336="","",'迁盟总表'!E336)</x:f>
        <x:v>留盟</x:v>
      </x:c>
      <x:c r="E45" s="40" t="str">
        <x:f>IF('迁盟总表'!Q336="","",'迁盟总表'!Q336)</x:f>
      </x:c>
      <x:c r="F45" s="40" t="n">
        <x:f>IF('迁盟总表'!R336="","",'迁盟总表'!R336)</x:f>
        <x:v>50927713</x:v>
      </x:c>
      <x:c r="G45" s="40" t="n">
        <x:f>IF('迁盟总表'!S336="","",'迁盟总表'!S336)</x:f>
        <x:v>115221367</x:v>
      </x:c>
      <x:c r="H45" s="37" t="str">
        <x:f>IF('迁盟总表'!H336="","",'迁盟总表'!H336)</x:f>
      </x:c>
      <x:c r="I45" s="37" t="str">
        <x:f>IF('迁盟总表'!I336="","",'迁盟总表'!I336)</x:f>
      </x:c>
      <x:c r="J45" s="40" t="str">
        <x:f>IF('迁盟总表'!J336="","",'迁盟总表'!J336)</x:f>
      </x:c>
      <x:c r="K45" s="40" t="str">
        <x:f>IF('迁盟总表'!K336="","",'迁盟总表'!K336)</x:f>
      </x:c>
      <x:c r="L45" s="40" t="str">
        <x:f>IF('迁盟总表'!L336="","",'迁盟总表'!L336)</x:f>
      </x:c>
      <x:c r="M45" s="40" t="str">
        <x:f>IF('迁盟总表'!M336="","",'迁盟总表'!M336)</x:f>
      </x:c>
      <x:c r="N45" s="40" t="str">
        <x:f>IF('迁盟总表'!N336="","",'迁盟总表'!N336)</x:f>
      </x:c>
      <x:c r="O45" s="40" t="str">
        <x:f>IF('迁盟总表'!O336="","",'迁盟总表'!O336)</x:f>
      </x:c>
      <x:c r="P45" s="40" t="str">
        <x:f>IF('迁盟总表'!P336="","",'迁盟总表'!P336)</x:f>
      </x:c>
      <x:c r="Q45" s="43" t="n">
        <x:f>IF('迁盟总表'!X336="","",'迁盟总表'!X336)</x:f>
        <x:v>18.4</x:v>
      </x:c>
      <x:c r="R45" s="27" t="n">
        <x:f>IF('迁盟总表'!Y336="","",'迁盟总表'!Y336)</x:f>
        <x:v>327</x:v>
      </x:c>
      <x:c r="S45" s="55" t="str">
        <x:f>IF('迁盟总表'!Z336="","",'迁盟总表'!Z336)</x:f>
        <x:v>保持当前盟，减少迁移成本</x:v>
      </x:c>
    </x:row>
    <x:row r="46" ht="20" customHeight="1">
      <x:c r="A46" s="26" t="str">
        <x:f>IF('迁盟总表'!B337="","",'迁盟总表'!B337)</x:f>
        <x:v>小洛雪</x:v>
      </x:c>
      <x:c r="B46" s="27" t="str">
        <x:f>IF('迁盟总表'!C337="","",'迁盟总表'!C337)</x:f>
        <x:v>燕云</x:v>
      </x:c>
      <x:c r="C46" s="67" t="str">
        <x:f>IF('迁盟总表'!D337="","",'迁盟总表'!D337)</x:f>
        <x:v>燕云</x:v>
      </x:c>
      <x:c r="D46" s="27" t="str">
        <x:f>IF('迁盟总表'!E337="","",'迁盟总表'!E337)</x:f>
        <x:v>留盟</x:v>
      </x:c>
      <x:c r="E46" s="40" t="str">
        <x:f>IF('迁盟总表'!Q337="","",'迁盟总表'!Q337)</x:f>
      </x:c>
      <x:c r="F46" s="40" t="n">
        <x:f>IF('迁盟总表'!R337="","",'迁盟总表'!R337)</x:f>
        <x:v>49794016</x:v>
      </x:c>
      <x:c r="G46" s="40" t="n">
        <x:f>IF('迁盟总表'!S337="","",'迁盟总表'!S337)</x:f>
        <x:v>109196489</x:v>
      </x:c>
      <x:c r="H46" s="37" t="str">
        <x:f>IF('迁盟总表'!H337="","",'迁盟总表'!H337)</x:f>
      </x:c>
      <x:c r="I46" s="37" t="str">
        <x:f>IF('迁盟总表'!I337="","",'迁盟总表'!I337)</x:f>
      </x:c>
      <x:c r="J46" s="40" t="str">
        <x:f>IF('迁盟总表'!J337="","",'迁盟总表'!J337)</x:f>
      </x:c>
      <x:c r="K46" s="40" t="str">
        <x:f>IF('迁盟总表'!K337="","",'迁盟总表'!K337)</x:f>
      </x:c>
      <x:c r="L46" s="40" t="str">
        <x:f>IF('迁盟总表'!L337="","",'迁盟总表'!L337)</x:f>
      </x:c>
      <x:c r="M46" s="40" t="str">
        <x:f>IF('迁盟总表'!M337="","",'迁盟总表'!M337)</x:f>
      </x:c>
      <x:c r="N46" s="40" t="str">
        <x:f>IF('迁盟总表'!N337="","",'迁盟总表'!N337)</x:f>
      </x:c>
      <x:c r="O46" s="40" t="str">
        <x:f>IF('迁盟总表'!O337="","",'迁盟总表'!O337)</x:f>
      </x:c>
      <x:c r="P46" s="40" t="str">
        <x:f>IF('迁盟总表'!P337="","",'迁盟总表'!P337)</x:f>
      </x:c>
      <x:c r="Q46" s="43" t="n">
        <x:f>IF('迁盟总表'!X337="","",'迁盟总表'!X337)</x:f>
        <x:v>17.8</x:v>
      </x:c>
      <x:c r="R46" s="27" t="n">
        <x:f>IF('迁盟总表'!Y337="","",'迁盟总表'!Y337)</x:f>
        <x:v>328</x:v>
      </x:c>
      <x:c r="S46" s="55" t="str">
        <x:f>IF('迁盟总表'!Z337="","",'迁盟总表'!Z337)</x:f>
        <x:v>保持当前盟，减少迁移成本</x:v>
      </x:c>
    </x:row>
    <x:row r="47" ht="20" customHeight="1">
      <x:c r="A47" s="26" t="str">
        <x:f>IF('迁盟总表'!B338="","",'迁盟总表'!B338)</x:f>
        <x:v>想的美</x:v>
      </x:c>
      <x:c r="B47" s="27" t="str">
        <x:f>IF('迁盟总表'!C338="","",'迁盟总表'!C338)</x:f>
        <x:v>燕云</x:v>
      </x:c>
      <x:c r="C47" s="67" t="str">
        <x:f>IF('迁盟总表'!D338="","",'迁盟总表'!D338)</x:f>
        <x:v>燕云</x:v>
      </x:c>
      <x:c r="D47" s="27" t="str">
        <x:f>IF('迁盟总表'!E338="","",'迁盟总表'!E338)</x:f>
        <x:v>留盟</x:v>
      </x:c>
      <x:c r="E47" s="40" t="str">
        <x:f>IF('迁盟总表'!Q338="","",'迁盟总表'!Q338)</x:f>
      </x:c>
      <x:c r="F47" s="40" t="n">
        <x:f>IF('迁盟总表'!R338="","",'迁盟总表'!R338)</x:f>
        <x:v>47475404</x:v>
      </x:c>
      <x:c r="G47" s="40" t="n">
        <x:f>IF('迁盟总表'!S338="","",'迁盟总表'!S338)</x:f>
        <x:v>101420808</x:v>
      </x:c>
      <x:c r="H47" s="37" t="str">
        <x:f>IF('迁盟总表'!H338="","",'迁盟总表'!H338)</x:f>
      </x:c>
      <x:c r="I47" s="37" t="str">
        <x:f>IF('迁盟总表'!I338="","",'迁盟总表'!I338)</x:f>
      </x:c>
      <x:c r="J47" s="40" t="str">
        <x:f>IF('迁盟总表'!J338="","",'迁盟总表'!J338)</x:f>
      </x:c>
      <x:c r="K47" s="40" t="str">
        <x:f>IF('迁盟总表'!K338="","",'迁盟总表'!K338)</x:f>
      </x:c>
      <x:c r="L47" s="40" t="str">
        <x:f>IF('迁盟总表'!L338="","",'迁盟总表'!L338)</x:f>
      </x:c>
      <x:c r="M47" s="40" t="str">
        <x:f>IF('迁盟总表'!M338="","",'迁盟总表'!M338)</x:f>
      </x:c>
      <x:c r="N47" s="40" t="str">
        <x:f>IF('迁盟总表'!N338="","",'迁盟总表'!N338)</x:f>
      </x:c>
      <x:c r="O47" s="40" t="str">
        <x:f>IF('迁盟总表'!O338="","",'迁盟总表'!O338)</x:f>
      </x:c>
      <x:c r="P47" s="40" t="str">
        <x:f>IF('迁盟总表'!P338="","",'迁盟总表'!P338)</x:f>
      </x:c>
      <x:c r="Q47" s="43" t="n">
        <x:f>IF('迁盟总表'!X338="","",'迁盟总表'!X338)</x:f>
        <x:v>16.9</x:v>
      </x:c>
      <x:c r="R47" s="27" t="n">
        <x:f>IF('迁盟总表'!Y338="","",'迁盟总表'!Y338)</x:f>
        <x:v>329</x:v>
      </x:c>
      <x:c r="S47" s="55" t="str">
        <x:f>IF('迁盟总表'!Z338="","",'迁盟总表'!Z338)</x:f>
        <x:v>保持当前盟，减少迁移成本</x:v>
      </x:c>
    </x:row>
    <x:row r="48" ht="20" customHeight="1">
      <x:c r="A48" s="26" t="str">
        <x:f>IF('迁盟总表'!B339="","",'迁盟总表'!B339)</x:f>
        <x:v>城市套路深</x:v>
      </x:c>
      <x:c r="B48" s="27" t="str">
        <x:f>IF('迁盟总表'!C339="","",'迁盟总表'!C339)</x:f>
        <x:v>燕云</x:v>
      </x:c>
      <x:c r="C48" s="67" t="str">
        <x:f>IF('迁盟总表'!D339="","",'迁盟总表'!D339)</x:f>
        <x:v>燕云</x:v>
      </x:c>
      <x:c r="D48" s="27" t="str">
        <x:f>IF('迁盟总表'!E339="","",'迁盟总表'!E339)</x:f>
        <x:v>留盟</x:v>
      </x:c>
      <x:c r="E48" s="40" t="str">
        <x:f>IF('迁盟总表'!Q339="","",'迁盟总表'!Q339)</x:f>
      </x:c>
      <x:c r="F48" s="40" t="n">
        <x:f>IF('迁盟总表'!R339="","",'迁盟总表'!R339)</x:f>
        <x:v>46286397</x:v>
      </x:c>
      <x:c r="G48" s="40" t="n">
        <x:f>IF('迁盟总表'!S339="","",'迁盟总表'!S339)</x:f>
        <x:v>89814462</x:v>
      </x:c>
      <x:c r="H48" s="37" t="str">
        <x:f>IF('迁盟总表'!H339="","",'迁盟总表'!H339)</x:f>
      </x:c>
      <x:c r="I48" s="37" t="str">
        <x:f>IF('迁盟总表'!I339="","",'迁盟总表'!I339)</x:f>
      </x:c>
      <x:c r="J48" s="40" t="str">
        <x:f>IF('迁盟总表'!J339="","",'迁盟总表'!J339)</x:f>
      </x:c>
      <x:c r="K48" s="40" t="str">
        <x:f>IF('迁盟总表'!K339="","",'迁盟总表'!K339)</x:f>
      </x:c>
      <x:c r="L48" s="40" t="str">
        <x:f>IF('迁盟总表'!L339="","",'迁盟总表'!L339)</x:f>
      </x:c>
      <x:c r="M48" s="40" t="str">
        <x:f>IF('迁盟总表'!M339="","",'迁盟总表'!M339)</x:f>
      </x:c>
      <x:c r="N48" s="40" t="str">
        <x:f>IF('迁盟总表'!N339="","",'迁盟总表'!N339)</x:f>
      </x:c>
      <x:c r="O48" s="40" t="str">
        <x:f>IF('迁盟总表'!O339="","",'迁盟总表'!O339)</x:f>
      </x:c>
      <x:c r="P48" s="40" t="str">
        <x:f>IF('迁盟总表'!P339="","",'迁盟总表'!P339)</x:f>
      </x:c>
      <x:c r="Q48" s="43" t="n">
        <x:f>IF('迁盟总表'!X339="","",'迁盟总表'!X339)</x:f>
        <x:v>16.2</x:v>
      </x:c>
      <x:c r="R48" s="27" t="n">
        <x:f>IF('迁盟总表'!Y339="","",'迁盟总表'!Y339)</x:f>
        <x:v>330</x:v>
      </x:c>
      <x:c r="S48" s="55" t="str">
        <x:f>IF('迁盟总表'!Z339="","",'迁盟总表'!Z339)</x:f>
        <x:v>保持当前盟，减少迁移成本</x:v>
      </x:c>
    </x:row>
    <x:row r="49" ht="20" customHeight="1">
      <x:c r="A49" s="26" t="str">
        <x:f>IF('迁盟总表'!B340="","",'迁盟总表'!B340)</x:f>
        <x:v>爱吃拼好饭</x:v>
      </x:c>
      <x:c r="B49" s="27" t="str">
        <x:f>IF('迁盟总表'!C340="","",'迁盟总表'!C340)</x:f>
        <x:v>燕云</x:v>
      </x:c>
      <x:c r="C49" s="67" t="str">
        <x:f>IF('迁盟总表'!D340="","",'迁盟总表'!D340)</x:f>
        <x:v>燕云</x:v>
      </x:c>
      <x:c r="D49" s="27" t="str">
        <x:f>IF('迁盟总表'!E340="","",'迁盟总表'!E340)</x:f>
        <x:v>留盟</x:v>
      </x:c>
      <x:c r="E49" s="40" t="str">
        <x:f>IF('迁盟总表'!Q340="","",'迁盟总表'!Q340)</x:f>
      </x:c>
      <x:c r="F49" s="40" t="n">
        <x:f>IF('迁盟总表'!R340="","",'迁盟总表'!R340)</x:f>
        <x:v>44030953</x:v>
      </x:c>
      <x:c r="G49" s="40" t="n">
        <x:f>IF('迁盟总表'!S340="","",'迁盟总表'!S340)</x:f>
        <x:v>90321873</x:v>
      </x:c>
      <x:c r="H49" s="37" t="str">
        <x:f>IF('迁盟总表'!H340="","",'迁盟总表'!H340)</x:f>
      </x:c>
      <x:c r="I49" s="37" t="str">
        <x:f>IF('迁盟总表'!I340="","",'迁盟总表'!I340)</x:f>
      </x:c>
      <x:c r="J49" s="40" t="str">
        <x:f>IF('迁盟总表'!J340="","",'迁盟总表'!J340)</x:f>
      </x:c>
      <x:c r="K49" s="40" t="str">
        <x:f>IF('迁盟总表'!K340="","",'迁盟总表'!K340)</x:f>
      </x:c>
      <x:c r="L49" s="40" t="str">
        <x:f>IF('迁盟总表'!L340="","",'迁盟总表'!L340)</x:f>
      </x:c>
      <x:c r="M49" s="40" t="str">
        <x:f>IF('迁盟总表'!M340="","",'迁盟总表'!M340)</x:f>
      </x:c>
      <x:c r="N49" s="40" t="str">
        <x:f>IF('迁盟总表'!N340="","",'迁盟总表'!N340)</x:f>
      </x:c>
      <x:c r="O49" s="40" t="str">
        <x:f>IF('迁盟总表'!O340="","",'迁盟总表'!O340)</x:f>
      </x:c>
      <x:c r="P49" s="40" t="str">
        <x:f>IF('迁盟总表'!P340="","",'迁盟总表'!P340)</x:f>
      </x:c>
      <x:c r="Q49" s="43" t="n">
        <x:f>IF('迁盟总表'!X340="","",'迁盟总表'!X340)</x:f>
        <x:v>15.6</x:v>
      </x:c>
      <x:c r="R49" s="27" t="n">
        <x:f>IF('迁盟总表'!Y340="","",'迁盟总表'!Y340)</x:f>
        <x:v>333</x:v>
      </x:c>
      <x:c r="S49" s="55" t="str">
        <x:f>IF('迁盟总表'!Z340="","",'迁盟总表'!Z340)</x:f>
        <x:v>保持当前盟，减少迁移成本</x:v>
      </x:c>
    </x:row>
    <x:row r="50" ht="20" customHeight="1">
      <x:c r="A50" s="26" t="str">
        <x:f>IF('迁盟总表'!B341="","",'迁盟总表'!B341)</x:f>
        <x:v>嘤嘤嘤11111</x:v>
      </x:c>
      <x:c r="B50" s="27" t="str">
        <x:f>IF('迁盟总表'!C341="","",'迁盟总表'!C341)</x:f>
        <x:v>燕云</x:v>
      </x:c>
      <x:c r="C50" s="67" t="str">
        <x:f>IF('迁盟总表'!D341="","",'迁盟总表'!D341)</x:f>
        <x:v>燕云</x:v>
      </x:c>
      <x:c r="D50" s="27" t="str">
        <x:f>IF('迁盟总表'!E341="","",'迁盟总表'!E341)</x:f>
        <x:v>留盟</x:v>
      </x:c>
      <x:c r="E50" s="40" t="str">
        <x:f>IF('迁盟总表'!Q341="","",'迁盟总表'!Q341)</x:f>
      </x:c>
      <x:c r="F50" s="40" t="n">
        <x:f>IF('迁盟总表'!R341="","",'迁盟总表'!R341)</x:f>
        <x:v>37505382</x:v>
      </x:c>
      <x:c r="G50" s="40" t="n">
        <x:f>IF('迁盟总表'!S341="","",'迁盟总表'!S341)</x:f>
        <x:v>111758065</x:v>
      </x:c>
      <x:c r="H50" s="37" t="str">
        <x:f>IF('迁盟总表'!H341="","",'迁盟总表'!H341)</x:f>
      </x:c>
      <x:c r="I50" s="37" t="str">
        <x:f>IF('迁盟总表'!I341="","",'迁盟总表'!I341)</x:f>
      </x:c>
      <x:c r="J50" s="40" t="str">
        <x:f>IF('迁盟总表'!J341="","",'迁盟总表'!J341)</x:f>
      </x:c>
      <x:c r="K50" s="40" t="str">
        <x:f>IF('迁盟总表'!K341="","",'迁盟总表'!K341)</x:f>
      </x:c>
      <x:c r="L50" s="40" t="str">
        <x:f>IF('迁盟总表'!L341="","",'迁盟总表'!L341)</x:f>
      </x:c>
      <x:c r="M50" s="40" t="str">
        <x:f>IF('迁盟总表'!M341="","",'迁盟总表'!M341)</x:f>
      </x:c>
      <x:c r="N50" s="40" t="str">
        <x:f>IF('迁盟总表'!N341="","",'迁盟总表'!N341)</x:f>
      </x:c>
      <x:c r="O50" s="40" t="str">
        <x:f>IF('迁盟总表'!O341="","",'迁盟总表'!O341)</x:f>
      </x:c>
      <x:c r="P50" s="40" t="str">
        <x:f>IF('迁盟总表'!P341="","",'迁盟总表'!P341)</x:f>
      </x:c>
      <x:c r="Q50" s="43" t="n">
        <x:f>IF('迁盟总表'!X341="","",'迁盟总表'!X341)</x:f>
        <x:v>14.4</x:v>
      </x:c>
      <x:c r="R50" s="27" t="n">
        <x:f>IF('迁盟总表'!Y341="","",'迁盟总表'!Y341)</x:f>
        <x:v>335</x:v>
      </x:c>
      <x:c r="S50" s="55" t="str">
        <x:f>IF('迁盟总表'!Z341="","",'迁盟总表'!Z341)</x:f>
        <x:v>保持当前盟，减少迁移成本</x:v>
      </x:c>
    </x:row>
    <x:row r="51" ht="20" customHeight="1">
      <x:c r="A51" s="26" t="str">
        <x:f>IF('迁盟总表'!B342="","",'迁盟总表'!B342)</x:f>
        <x:v>小苍苍</x:v>
      </x:c>
      <x:c r="B51" s="27" t="str">
        <x:f>IF('迁盟总表'!C342="","",'迁盟总表'!C342)</x:f>
        <x:v>燕云</x:v>
      </x:c>
      <x:c r="C51" s="67" t="str">
        <x:f>IF('迁盟总表'!D342="","",'迁盟总表'!D342)</x:f>
        <x:v>燕云</x:v>
      </x:c>
      <x:c r="D51" s="27" t="str">
        <x:f>IF('迁盟总表'!E342="","",'迁盟总表'!E342)</x:f>
        <x:v>留盟</x:v>
      </x:c>
      <x:c r="E51" s="40" t="str">
        <x:f>IF('迁盟总表'!Q342="","",'迁盟总表'!Q342)</x:f>
      </x:c>
      <x:c r="F51" s="40" t="n">
        <x:f>IF('迁盟总表'!R342="","",'迁盟总表'!R342)</x:f>
        <x:v>39470082</x:v>
      </x:c>
      <x:c r="G51" s="40" t="n">
        <x:f>IF('迁盟总表'!S342="","",'迁盟总表'!S342)</x:f>
        <x:v>68059064</x:v>
      </x:c>
      <x:c r="H51" s="37" t="str">
        <x:f>IF('迁盟总表'!H342="","",'迁盟总表'!H342)</x:f>
      </x:c>
      <x:c r="I51" s="37" t="str">
        <x:f>IF('迁盟总表'!I342="","",'迁盟总表'!I342)</x:f>
      </x:c>
      <x:c r="J51" s="40" t="str">
        <x:f>IF('迁盟总表'!J342="","",'迁盟总表'!J342)</x:f>
      </x:c>
      <x:c r="K51" s="40" t="str">
        <x:f>IF('迁盟总表'!K342="","",'迁盟总表'!K342)</x:f>
      </x:c>
      <x:c r="L51" s="40" t="str">
        <x:f>IF('迁盟总表'!L342="","",'迁盟总表'!L342)</x:f>
      </x:c>
      <x:c r="M51" s="40" t="str">
        <x:f>IF('迁盟总表'!M342="","",'迁盟总表'!M342)</x:f>
      </x:c>
      <x:c r="N51" s="40" t="str">
        <x:f>IF('迁盟总表'!N342="","",'迁盟总表'!N342)</x:f>
      </x:c>
      <x:c r="O51" s="40" t="str">
        <x:f>IF('迁盟总表'!O342="","",'迁盟总表'!O342)</x:f>
      </x:c>
      <x:c r="P51" s="40" t="str">
        <x:f>IF('迁盟总表'!P342="","",'迁盟总表'!P342)</x:f>
      </x:c>
      <x:c r="Q51" s="43" t="n">
        <x:f>IF('迁盟总表'!X342="","",'迁盟总表'!X342)</x:f>
        <x:v>13.5</x:v>
      </x:c>
      <x:c r="R51" s="27" t="n">
        <x:f>IF('迁盟总表'!Y342="","",'迁盟总表'!Y342)</x:f>
        <x:v>337</x:v>
      </x:c>
      <x:c r="S51" s="55" t="str">
        <x:f>IF('迁盟总表'!Z342="","",'迁盟总表'!Z342)</x:f>
        <x:v>保持当前盟，减少迁移成本</x:v>
      </x:c>
    </x:row>
    <x:row r="52" ht="20" customHeight="1">
      <x:c r="A52" s="26" t="str">
        <x:f>IF('迁盟总表'!B343="","",'迁盟总表'!B343)</x:f>
        <x:v>曹丕的画多少钱</x:v>
      </x:c>
      <x:c r="B52" s="27" t="str">
        <x:f>IF('迁盟总表'!C343="","",'迁盟总表'!C343)</x:f>
        <x:v>燕云</x:v>
      </x:c>
      <x:c r="C52" s="67" t="str">
        <x:f>IF('迁盟总表'!D343="","",'迁盟总表'!D343)</x:f>
        <x:v>燕云</x:v>
      </x:c>
      <x:c r="D52" s="27" t="str">
        <x:f>IF('迁盟总表'!E343="","",'迁盟总表'!E343)</x:f>
        <x:v>留盟</x:v>
      </x:c>
      <x:c r="E52" s="40" t="str">
        <x:f>IF('迁盟总表'!Q343="","",'迁盟总表'!Q343)</x:f>
      </x:c>
      <x:c r="F52" s="40" t="n">
        <x:f>IF('迁盟总表'!R343="","",'迁盟总表'!R343)</x:f>
        <x:v>34716773</x:v>
      </x:c>
      <x:c r="G52" s="40" t="n">
        <x:f>IF('迁盟总表'!S343="","",'迁盟总表'!S343)</x:f>
        <x:v>55095941</x:v>
      </x:c>
      <x:c r="H52" s="37" t="str">
        <x:f>IF('迁盟总表'!H343="","",'迁盟总表'!H343)</x:f>
      </x:c>
      <x:c r="I52" s="37" t="str">
        <x:f>IF('迁盟总表'!I343="","",'迁盟总表'!I343)</x:f>
      </x:c>
      <x:c r="J52" s="40" t="str">
        <x:f>IF('迁盟总表'!J343="","",'迁盟总表'!J343)</x:f>
      </x:c>
      <x:c r="K52" s="40" t="str">
        <x:f>IF('迁盟总表'!K343="","",'迁盟总表'!K343)</x:f>
      </x:c>
      <x:c r="L52" s="40" t="str">
        <x:f>IF('迁盟总表'!L343="","",'迁盟总表'!L343)</x:f>
      </x:c>
      <x:c r="M52" s="40" t="str">
        <x:f>IF('迁盟总表'!M343="","",'迁盟总表'!M343)</x:f>
      </x:c>
      <x:c r="N52" s="40" t="str">
        <x:f>IF('迁盟总表'!N343="","",'迁盟总表'!N343)</x:f>
      </x:c>
      <x:c r="O52" s="40" t="str">
        <x:f>IF('迁盟总表'!O343="","",'迁盟总表'!O343)</x:f>
      </x:c>
      <x:c r="P52" s="40" t="str">
        <x:f>IF('迁盟总表'!P343="","",'迁盟总表'!P343)</x:f>
      </x:c>
      <x:c r="Q52" s="43" t="n">
        <x:f>IF('迁盟总表'!X343="","",'迁盟总表'!X343)</x:f>
        <x:v>11.8</x:v>
      </x:c>
      <x:c r="R52" s="27" t="n">
        <x:f>IF('迁盟总表'!Y343="","",'迁盟总表'!Y343)</x:f>
        <x:v>339</x:v>
      </x:c>
      <x:c r="S52" s="55" t="str">
        <x:f>IF('迁盟总表'!Z343="","",'迁盟总表'!Z343)</x:f>
        <x:v>保持当前盟，减少迁移成本</x:v>
      </x:c>
    </x:row>
    <x:row r="53" ht="20" customHeight="1">
      <x:c r="A53" s="26" t="str">
        <x:f>IF('迁盟总表'!B344="","",'迁盟总表'!B344)</x:f>
        <x:v>十九停</x:v>
      </x:c>
      <x:c r="B53" s="27" t="str">
        <x:f>IF('迁盟总表'!C344="","",'迁盟总表'!C344)</x:f>
        <x:v>燕云</x:v>
      </x:c>
      <x:c r="C53" s="67" t="str">
        <x:f>IF('迁盟总表'!D344="","",'迁盟总表'!D344)</x:f>
        <x:v>燕云</x:v>
      </x:c>
      <x:c r="D53" s="27" t="str">
        <x:f>IF('迁盟总表'!E344="","",'迁盟总表'!E344)</x:f>
        <x:v>留盟</x:v>
      </x:c>
      <x:c r="E53" s="40" t="str">
        <x:f>IF('迁盟总表'!Q344="","",'迁盟总表'!Q344)</x:f>
      </x:c>
      <x:c r="F53" s="40" t="n">
        <x:f>IF('迁盟总表'!R344="","",'迁盟总表'!R344)</x:f>
        <x:v>33989580</x:v>
      </x:c>
      <x:c r="G53" s="40" t="n">
        <x:f>IF('迁盟总表'!S344="","",'迁盟总表'!S344)</x:f>
        <x:v>60990904</x:v>
      </x:c>
      <x:c r="H53" s="37" t="str">
        <x:f>IF('迁盟总表'!H344="","",'迁盟总表'!H344)</x:f>
      </x:c>
      <x:c r="I53" s="37" t="str">
        <x:f>IF('迁盟总表'!I344="","",'迁盟总表'!I344)</x:f>
      </x:c>
      <x:c r="J53" s="40" t="str">
        <x:f>IF('迁盟总表'!J344="","",'迁盟总表'!J344)</x:f>
      </x:c>
      <x:c r="K53" s="40" t="str">
        <x:f>IF('迁盟总表'!K344="","",'迁盟总表'!K344)</x:f>
      </x:c>
      <x:c r="L53" s="40" t="str">
        <x:f>IF('迁盟总表'!L344="","",'迁盟总表'!L344)</x:f>
      </x:c>
      <x:c r="M53" s="40" t="str">
        <x:f>IF('迁盟总表'!M344="","",'迁盟总表'!M344)</x:f>
      </x:c>
      <x:c r="N53" s="40" t="str">
        <x:f>IF('迁盟总表'!N344="","",'迁盟总表'!N344)</x:f>
      </x:c>
      <x:c r="O53" s="40" t="str">
        <x:f>IF('迁盟总表'!O344="","",'迁盟总表'!O344)</x:f>
      </x:c>
      <x:c r="P53" s="40" t="str">
        <x:f>IF('迁盟总表'!P344="","",'迁盟总表'!P344)</x:f>
      </x:c>
      <x:c r="Q53" s="43" t="n">
        <x:f>IF('迁盟总表'!X344="","",'迁盟总表'!X344)</x:f>
        <x:v>11.7</x:v>
      </x:c>
      <x:c r="R53" s="27" t="n">
        <x:f>IF('迁盟总表'!Y344="","",'迁盟总表'!Y344)</x:f>
        <x:v>340</x:v>
      </x:c>
      <x:c r="S53" s="55" t="str">
        <x:f>IF('迁盟总表'!Z344="","",'迁盟总表'!Z344)</x:f>
        <x:v>保持当前盟，减少迁移成本</x:v>
      </x:c>
    </x:row>
    <x:row r="54" ht="20" customHeight="1">
      <x:c r="A54" s="26" t="str">
        <x:f>IF('迁盟总表'!B345="","",'迁盟总表'!B345)</x:f>
        <x:v>云子呀</x:v>
      </x:c>
      <x:c r="B54" s="27" t="str">
        <x:f>IF('迁盟总表'!C345="","",'迁盟总表'!C345)</x:f>
        <x:v>燕云</x:v>
      </x:c>
      <x:c r="C54" s="67" t="str">
        <x:f>IF('迁盟总表'!D345="","",'迁盟总表'!D345)</x:f>
        <x:v>燕云</x:v>
      </x:c>
      <x:c r="D54" s="27" t="str">
        <x:f>IF('迁盟总表'!E345="","",'迁盟总表'!E345)</x:f>
        <x:v>留盟</x:v>
      </x:c>
      <x:c r="E54" s="40" t="str">
        <x:f>IF('迁盟总表'!Q345="","",'迁盟总表'!Q345)</x:f>
      </x:c>
      <x:c r="F54" s="40" t="n">
        <x:f>IF('迁盟总表'!R345="","",'迁盟总表'!R345)</x:f>
        <x:v>32842440</x:v>
      </x:c>
      <x:c r="G54" s="40" t="n">
        <x:f>IF('迁盟总表'!S345="","",'迁盟总表'!S345)</x:f>
        <x:v>50309141</x:v>
      </x:c>
      <x:c r="H54" s="37" t="str">
        <x:f>IF('迁盟总表'!H345="","",'迁盟总表'!H345)</x:f>
      </x:c>
      <x:c r="I54" s="37" t="str">
        <x:f>IF('迁盟总表'!I345="","",'迁盟总表'!I345)</x:f>
      </x:c>
      <x:c r="J54" s="40" t="str">
        <x:f>IF('迁盟总表'!J345="","",'迁盟总表'!J345)</x:f>
      </x:c>
      <x:c r="K54" s="40" t="str">
        <x:f>IF('迁盟总表'!K345="","",'迁盟总表'!K345)</x:f>
      </x:c>
      <x:c r="L54" s="40" t="str">
        <x:f>IF('迁盟总表'!L345="","",'迁盟总表'!L345)</x:f>
      </x:c>
      <x:c r="M54" s="40" t="str">
        <x:f>IF('迁盟总表'!M345="","",'迁盟总表'!M345)</x:f>
      </x:c>
      <x:c r="N54" s="40" t="str">
        <x:f>IF('迁盟总表'!N345="","",'迁盟总表'!N345)</x:f>
      </x:c>
      <x:c r="O54" s="40" t="str">
        <x:f>IF('迁盟总表'!O345="","",'迁盟总表'!O345)</x:f>
      </x:c>
      <x:c r="P54" s="40" t="str">
        <x:f>IF('迁盟总表'!P345="","",'迁盟总表'!P345)</x:f>
      </x:c>
      <x:c r="Q54" s="43" t="n">
        <x:f>IF('迁盟总表'!X345="","",'迁盟总表'!X345)</x:f>
        <x:v>11.1</x:v>
      </x:c>
      <x:c r="R54" s="27" t="n">
        <x:f>IF('迁盟总表'!Y345="","",'迁盟总表'!Y345)</x:f>
        <x:v>341</x:v>
      </x:c>
      <x:c r="S54" s="55" t="str">
        <x:f>IF('迁盟总表'!Z345="","",'迁盟总表'!Z345)</x:f>
        <x:v>保持当前盟，减少迁移成本</x:v>
      </x:c>
    </x:row>
    <x:row r="55" ht="20" customHeight="1">
      <x:c r="A55" s="26" t="str">
        <x:f>IF('迁盟总表'!B346="","",'迁盟总表'!B346)</x:f>
        <x:v>葱绿葱</x:v>
      </x:c>
      <x:c r="B55" s="27" t="str">
        <x:f>IF('迁盟总表'!C346="","",'迁盟总表'!C346)</x:f>
        <x:v>燕云</x:v>
      </x:c>
      <x:c r="C55" s="67" t="str">
        <x:f>IF('迁盟总表'!D346="","",'迁盟总表'!D346)</x:f>
        <x:v>燕云</x:v>
      </x:c>
      <x:c r="D55" s="27" t="str">
        <x:f>IF('迁盟总表'!E346="","",'迁盟总表'!E346)</x:f>
        <x:v>留盟</x:v>
      </x:c>
      <x:c r="E55" s="40" t="str">
        <x:f>IF('迁盟总表'!Q346="","",'迁盟总表'!Q346)</x:f>
      </x:c>
      <x:c r="F55" s="40" t="n">
        <x:f>IF('迁盟总表'!R346="","",'迁盟总表'!R346)</x:f>
        <x:v>31537931</x:v>
      </x:c>
      <x:c r="G55" s="40" t="n">
        <x:f>IF('迁盟总表'!S346="","",'迁盟总表'!S346)</x:f>
        <x:v>47405904</x:v>
      </x:c>
      <x:c r="H55" s="37" t="str">
        <x:f>IF('迁盟总表'!H346="","",'迁盟总表'!H346)</x:f>
      </x:c>
      <x:c r="I55" s="37" t="str">
        <x:f>IF('迁盟总表'!I346="","",'迁盟总表'!I346)</x:f>
      </x:c>
      <x:c r="J55" s="40" t="str">
        <x:f>IF('迁盟总表'!J346="","",'迁盟总表'!J346)</x:f>
      </x:c>
      <x:c r="K55" s="40" t="str">
        <x:f>IF('迁盟总表'!K346="","",'迁盟总表'!K346)</x:f>
      </x:c>
      <x:c r="L55" s="40" t="str">
        <x:f>IF('迁盟总表'!L346="","",'迁盟总表'!L346)</x:f>
      </x:c>
      <x:c r="M55" s="40" t="str">
        <x:f>IF('迁盟总表'!M346="","",'迁盟总表'!M346)</x:f>
      </x:c>
      <x:c r="N55" s="40" t="str">
        <x:f>IF('迁盟总表'!N346="","",'迁盟总表'!N346)</x:f>
      </x:c>
      <x:c r="O55" s="40" t="str">
        <x:f>IF('迁盟总表'!O346="","",'迁盟总表'!O346)</x:f>
      </x:c>
      <x:c r="P55" s="40" t="str">
        <x:f>IF('迁盟总表'!P346="","",'迁盟总表'!P346)</x:f>
      </x:c>
      <x:c r="Q55" s="43" t="n">
        <x:f>IF('迁盟总表'!X346="","",'迁盟总表'!X346)</x:f>
        <x:v>10.6</x:v>
      </x:c>
      <x:c r="R55" s="27" t="n">
        <x:f>IF('迁盟总表'!Y346="","",'迁盟总表'!Y346)</x:f>
        <x:v>342</x:v>
      </x:c>
      <x:c r="S55" s="55" t="str">
        <x:f>IF('迁盟总表'!Z346="","",'迁盟总表'!Z346)</x:f>
        <x:v>保持当前盟，减少迁移成本</x:v>
      </x:c>
    </x:row>
    <x:row r="56" ht="20" customHeight="1">
      <x:c r="A56" s="26" t="str">
        <x:f>IF('迁盟总表'!B347="","",'迁盟总表'!B347)</x:f>
        <x:v>我不想要你的</x:v>
      </x:c>
      <x:c r="B56" s="27" t="str">
        <x:f>IF('迁盟总表'!C347="","",'迁盟总表'!C347)</x:f>
        <x:v>燕云</x:v>
      </x:c>
      <x:c r="C56" s="67" t="str">
        <x:f>IF('迁盟总表'!D347="","",'迁盟总表'!D347)</x:f>
        <x:v>燕云</x:v>
      </x:c>
      <x:c r="D56" s="27" t="str">
        <x:f>IF('迁盟总表'!E347="","",'迁盟总表'!E347)</x:f>
        <x:v>留盟</x:v>
      </x:c>
      <x:c r="E56" s="40" t="str">
        <x:f>IF('迁盟总表'!Q347="","",'迁盟总表'!Q347)</x:f>
      </x:c>
      <x:c r="F56" s="40" t="n">
        <x:f>IF('迁盟总表'!R347="","",'迁盟总表'!R347)</x:f>
        <x:v>27576862</x:v>
      </x:c>
      <x:c r="G56" s="40" t="n">
        <x:f>IF('迁盟总表'!S347="","",'迁盟总表'!S347)</x:f>
        <x:v>37539301</x:v>
      </x:c>
      <x:c r="H56" s="37" t="str">
        <x:f>IF('迁盟总表'!H347="","",'迁盟总表'!H347)</x:f>
      </x:c>
      <x:c r="I56" s="37" t="str">
        <x:f>IF('迁盟总表'!I347="","",'迁盟总表'!I347)</x:f>
      </x:c>
      <x:c r="J56" s="40" t="str">
        <x:f>IF('迁盟总表'!J347="","",'迁盟总表'!J347)</x:f>
      </x:c>
      <x:c r="K56" s="40" t="str">
        <x:f>IF('迁盟总表'!K347="","",'迁盟总表'!K347)</x:f>
      </x:c>
      <x:c r="L56" s="40" t="str">
        <x:f>IF('迁盟总表'!L347="","",'迁盟总表'!L347)</x:f>
      </x:c>
      <x:c r="M56" s="40" t="str">
        <x:f>IF('迁盟总表'!M347="","",'迁盟总表'!M347)</x:f>
      </x:c>
      <x:c r="N56" s="40" t="str">
        <x:f>IF('迁盟总表'!N347="","",'迁盟总表'!N347)</x:f>
      </x:c>
      <x:c r="O56" s="40" t="str">
        <x:f>IF('迁盟总表'!O347="","",'迁盟总表'!O347)</x:f>
      </x:c>
      <x:c r="P56" s="40" t="str">
        <x:f>IF('迁盟总表'!P347="","",'迁盟总表'!P347)</x:f>
      </x:c>
      <x:c r="Q56" s="43" t="n">
        <x:f>IF('迁盟总表'!X347="","",'迁盟总表'!X347)</x:f>
        <x:v>9.1</x:v>
      </x:c>
      <x:c r="R56" s="27" t="n">
        <x:f>IF('迁盟总表'!Y347="","",'迁盟总表'!Y347)</x:f>
        <x:v>343</x:v>
      </x:c>
      <x:c r="S56" s="55" t="str">
        <x:f>IF('迁盟总表'!Z347="","",'迁盟总表'!Z347)</x:f>
        <x:v>保持当前盟，减少迁移成本</x:v>
      </x:c>
    </x:row>
    <x:row r="57" ht="20" customHeight="1">
      <x:c r="A57" s="26" t="str">
        <x:f>IF('迁盟总表'!B348="","",'迁盟总表'!B348)</x:f>
        <x:v>达芬奇</x:v>
      </x:c>
      <x:c r="B57" s="27" t="str">
        <x:f>IF('迁盟总表'!C348="","",'迁盟总表'!C348)</x:f>
        <x:v>燕云</x:v>
      </x:c>
      <x:c r="C57" s="67" t="str">
        <x:f>IF('迁盟总表'!D348="","",'迁盟总表'!D348)</x:f>
        <x:v>燕云</x:v>
      </x:c>
      <x:c r="D57" s="27" t="str">
        <x:f>IF('迁盟总表'!E348="","",'迁盟总表'!E348)</x:f>
        <x:v>留盟</x:v>
      </x:c>
      <x:c r="E57" s="40" t="str">
        <x:f>IF('迁盟总表'!Q348="","",'迁盟总表'!Q348)</x:f>
      </x:c>
      <x:c r="F57" s="40" t="n">
        <x:f>IF('迁盟总表'!R348="","",'迁盟总表'!R348)</x:f>
        <x:v>26453793</x:v>
      </x:c>
      <x:c r="G57" s="40" t="n">
        <x:f>IF('迁盟总表'!S348="","",'迁盟总表'!S348)</x:f>
        <x:v>39484444</x:v>
      </x:c>
      <x:c r="H57" s="37" t="str">
        <x:f>IF('迁盟总表'!H348="","",'迁盟总表'!H348)</x:f>
      </x:c>
      <x:c r="I57" s="37" t="str">
        <x:f>IF('迁盟总表'!I348="","",'迁盟总表'!I348)</x:f>
      </x:c>
      <x:c r="J57" s="40" t="str">
        <x:f>IF('迁盟总表'!J348="","",'迁盟总表'!J348)</x:f>
      </x:c>
      <x:c r="K57" s="40" t="str">
        <x:f>IF('迁盟总表'!K348="","",'迁盟总表'!K348)</x:f>
      </x:c>
      <x:c r="L57" s="40" t="str">
        <x:f>IF('迁盟总表'!L348="","",'迁盟总表'!L348)</x:f>
      </x:c>
      <x:c r="M57" s="40" t="str">
        <x:f>IF('迁盟总表'!M348="","",'迁盟总表'!M348)</x:f>
      </x:c>
      <x:c r="N57" s="40" t="str">
        <x:f>IF('迁盟总表'!N348="","",'迁盟总表'!N348)</x:f>
      </x:c>
      <x:c r="O57" s="40" t="str">
        <x:f>IF('迁盟总表'!O348="","",'迁盟总表'!O348)</x:f>
      </x:c>
      <x:c r="P57" s="40" t="str">
        <x:f>IF('迁盟总表'!P348="","",'迁盟总表'!P348)</x:f>
      </x:c>
      <x:c r="Q57" s="43" t="n">
        <x:f>IF('迁盟总表'!X348="","",'迁盟总表'!X348)</x:f>
        <x:v>8.9</x:v>
      </x:c>
      <x:c r="R57" s="27" t="n">
        <x:f>IF('迁盟总表'!Y348="","",'迁盟总表'!Y348)</x:f>
        <x:v>344</x:v>
      </x:c>
      <x:c r="S57" s="55" t="str">
        <x:f>IF('迁盟总表'!Z348="","",'迁盟总表'!Z348)</x:f>
        <x:v>保持当前盟，减少迁移成本</x:v>
      </x:c>
    </x:row>
    <x:row r="58" ht="20" customHeight="1">
      <x:c r="A58" s="26" t="str">
        <x:f>IF('迁盟总表'!B349="","",'迁盟总表'!B349)</x:f>
        <x:v>小青柠檬</x:v>
      </x:c>
      <x:c r="B58" s="27" t="str">
        <x:f>IF('迁盟总表'!C349="","",'迁盟总表'!C349)</x:f>
        <x:v>燕云</x:v>
      </x:c>
      <x:c r="C58" s="67" t="str">
        <x:f>IF('迁盟总表'!D349="","",'迁盟总表'!D349)</x:f>
        <x:v>燕云</x:v>
      </x:c>
      <x:c r="D58" s="27" t="str">
        <x:f>IF('迁盟总表'!E349="","",'迁盟总表'!E349)</x:f>
        <x:v>留盟</x:v>
      </x:c>
      <x:c r="E58" s="40" t="str">
        <x:f>IF('迁盟总表'!Q349="","",'迁盟总表'!Q349)</x:f>
      </x:c>
      <x:c r="F58" s="40" t="n">
        <x:f>IF('迁盟总表'!R349="","",'迁盟总表'!R349)</x:f>
        <x:v>25979243</x:v>
      </x:c>
      <x:c r="G58" s="40" t="n">
        <x:f>IF('迁盟总表'!S349="","",'迁盟总表'!S349)</x:f>
        <x:v>39841262</x:v>
      </x:c>
      <x:c r="H58" s="37" t="str">
        <x:f>IF('迁盟总表'!H349="","",'迁盟总表'!H349)</x:f>
      </x:c>
      <x:c r="I58" s="37" t="str">
        <x:f>IF('迁盟总表'!I349="","",'迁盟总表'!I349)</x:f>
      </x:c>
      <x:c r="J58" s="40" t="str">
        <x:f>IF('迁盟总表'!J349="","",'迁盟总表'!J349)</x:f>
      </x:c>
      <x:c r="K58" s="40" t="str">
        <x:f>IF('迁盟总表'!K349="","",'迁盟总表'!K349)</x:f>
      </x:c>
      <x:c r="L58" s="40" t="str">
        <x:f>IF('迁盟总表'!L349="","",'迁盟总表'!L349)</x:f>
      </x:c>
      <x:c r="M58" s="40" t="str">
        <x:f>IF('迁盟总表'!M349="","",'迁盟总表'!M349)</x:f>
      </x:c>
      <x:c r="N58" s="40" t="str">
        <x:f>IF('迁盟总表'!N349="","",'迁盟总表'!N349)</x:f>
      </x:c>
      <x:c r="O58" s="40" t="str">
        <x:f>IF('迁盟总表'!O349="","",'迁盟总表'!O349)</x:f>
      </x:c>
      <x:c r="P58" s="40" t="str">
        <x:f>IF('迁盟总表'!P349="","",'迁盟总表'!P349)</x:f>
      </x:c>
      <x:c r="Q58" s="43" t="n">
        <x:f>IF('迁盟总表'!X349="","",'迁盟总表'!X349)</x:f>
        <x:v>8.8</x:v>
      </x:c>
      <x:c r="R58" s="27" t="n">
        <x:f>IF('迁盟总表'!Y349="","",'迁盟总表'!Y349)</x:f>
        <x:v>345</x:v>
      </x:c>
      <x:c r="S58" s="55" t="str">
        <x:f>IF('迁盟总表'!Z349="","",'迁盟总表'!Z349)</x:f>
        <x:v>保持当前盟，减少迁移成本</x:v>
      </x:c>
    </x:row>
    <x:row r="59" ht="20" customHeight="1">
      <x:c r="A59" s="26" t="str">
        <x:f>IF('迁盟总表'!B350="","",'迁盟总表'!B350)</x:f>
        <x:v>上海人</x:v>
      </x:c>
      <x:c r="B59" s="27" t="str">
        <x:f>IF('迁盟总表'!C350="","",'迁盟总表'!C350)</x:f>
        <x:v>燕云</x:v>
      </x:c>
      <x:c r="C59" s="67" t="str">
        <x:f>IF('迁盟总表'!D350="","",'迁盟总表'!D350)</x:f>
        <x:v>燕云</x:v>
      </x:c>
      <x:c r="D59" s="27" t="str">
        <x:f>IF('迁盟总表'!E350="","",'迁盟总表'!E350)</x:f>
        <x:v>留盟</x:v>
      </x:c>
      <x:c r="E59" s="40" t="str">
        <x:f>IF('迁盟总表'!Q350="","",'迁盟总表'!Q350)</x:f>
      </x:c>
      <x:c r="F59" s="40" t="n">
        <x:f>IF('迁盟总表'!R350="","",'迁盟总表'!R350)</x:f>
        <x:v>25760838</x:v>
      </x:c>
      <x:c r="G59" s="40" t="n">
        <x:f>IF('迁盟总表'!S350="","",'迁盟总表'!S350)</x:f>
        <x:v>37170802</x:v>
      </x:c>
      <x:c r="H59" s="37" t="str">
        <x:f>IF('迁盟总表'!H350="","",'迁盟总表'!H350)</x:f>
      </x:c>
      <x:c r="I59" s="37" t="str">
        <x:f>IF('迁盟总表'!I350="","",'迁盟总表'!I350)</x:f>
      </x:c>
      <x:c r="J59" s="40" t="str">
        <x:f>IF('迁盟总表'!J350="","",'迁盟总表'!J350)</x:f>
      </x:c>
      <x:c r="K59" s="40" t="str">
        <x:f>IF('迁盟总表'!K350="","",'迁盟总表'!K350)</x:f>
      </x:c>
      <x:c r="L59" s="40" t="str">
        <x:f>IF('迁盟总表'!L350="","",'迁盟总表'!L350)</x:f>
      </x:c>
      <x:c r="M59" s="40" t="str">
        <x:f>IF('迁盟总表'!M350="","",'迁盟总表'!M350)</x:f>
      </x:c>
      <x:c r="N59" s="40" t="str">
        <x:f>IF('迁盟总表'!N350="","",'迁盟总表'!N350)</x:f>
      </x:c>
      <x:c r="O59" s="40" t="str">
        <x:f>IF('迁盟总表'!O350="","",'迁盟总表'!O350)</x:f>
      </x:c>
      <x:c r="P59" s="40" t="str">
        <x:f>IF('迁盟总表'!P350="","",'迁盟总表'!P350)</x:f>
      </x:c>
      <x:c r="Q59" s="43" t="n">
        <x:f>IF('迁盟总表'!X350="","",'迁盟总表'!X350)</x:f>
        <x:v>8.6</x:v>
      </x:c>
      <x:c r="R59" s="27" t="n">
        <x:f>IF('迁盟总表'!Y350="","",'迁盟总表'!Y350)</x:f>
        <x:v>346</x:v>
      </x:c>
      <x:c r="S59" s="55" t="str">
        <x:f>IF('迁盟总表'!Z350="","",'迁盟总表'!Z350)</x:f>
        <x:v>保持当前盟，减少迁移成本</x:v>
      </x:c>
    </x:row>
    <x:row r="60" ht="20" customHeight="1">
      <x:c r="A60" s="26" t="str">
        <x:f>IF('迁盟总表'!B351="","",'迁盟总表'!B351)</x:f>
        <x:v>数一数</x:v>
      </x:c>
      <x:c r="B60" s="27" t="str">
        <x:f>IF('迁盟总表'!C351="","",'迁盟总表'!C351)</x:f>
        <x:v>燕云</x:v>
      </x:c>
      <x:c r="C60" s="67" t="str">
        <x:f>IF('迁盟总表'!D351="","",'迁盟总表'!D351)</x:f>
        <x:v>燕云</x:v>
      </x:c>
      <x:c r="D60" s="27" t="str">
        <x:f>IF('迁盟总表'!E351="","",'迁盟总表'!E351)</x:f>
        <x:v>留盟</x:v>
      </x:c>
      <x:c r="E60" s="40" t="str">
        <x:f>IF('迁盟总表'!Q351="","",'迁盟总表'!Q351)</x:f>
      </x:c>
      <x:c r="F60" s="40" t="n">
        <x:f>IF('迁盟总表'!R351="","",'迁盟总表'!R351)</x:f>
        <x:v>23130860</x:v>
      </x:c>
      <x:c r="G60" s="40" t="n">
        <x:f>IF('迁盟总表'!S351="","",'迁盟总表'!S351)</x:f>
        <x:v>38670747</x:v>
      </x:c>
      <x:c r="H60" s="37" t="str">
        <x:f>IF('迁盟总表'!H351="","",'迁盟总表'!H351)</x:f>
      </x:c>
      <x:c r="I60" s="37" t="str">
        <x:f>IF('迁盟总表'!I351="","",'迁盟总表'!I351)</x:f>
      </x:c>
      <x:c r="J60" s="40" t="str">
        <x:f>IF('迁盟总表'!J351="","",'迁盟总表'!J351)</x:f>
      </x:c>
      <x:c r="K60" s="40" t="str">
        <x:f>IF('迁盟总表'!K351="","",'迁盟总表'!K351)</x:f>
      </x:c>
      <x:c r="L60" s="40" t="str">
        <x:f>IF('迁盟总表'!L351="","",'迁盟总表'!L351)</x:f>
      </x:c>
      <x:c r="M60" s="40" t="str">
        <x:f>IF('迁盟总表'!M351="","",'迁盟总表'!M351)</x:f>
      </x:c>
      <x:c r="N60" s="40" t="str">
        <x:f>IF('迁盟总表'!N351="","",'迁盟总表'!N351)</x:f>
      </x:c>
      <x:c r="O60" s="40" t="str">
        <x:f>IF('迁盟总表'!O351="","",'迁盟总表'!O351)</x:f>
      </x:c>
      <x:c r="P60" s="40" t="str">
        <x:f>IF('迁盟总表'!P351="","",'迁盟总表'!P351)</x:f>
      </x:c>
      <x:c r="Q60" s="43" t="n">
        <x:f>IF('迁盟总表'!X351="","",'迁盟总表'!X351)</x:f>
        <x:v>7.9</x:v>
      </x:c>
      <x:c r="R60" s="27" t="n">
        <x:f>IF('迁盟总表'!Y351="","",'迁盟总表'!Y351)</x:f>
        <x:v>347</x:v>
      </x:c>
      <x:c r="S60" s="55" t="str">
        <x:f>IF('迁盟总表'!Z351="","",'迁盟总表'!Z351)</x:f>
        <x:v>保持当前盟，减少迁移成本</x:v>
      </x:c>
    </x:row>
    <x:row r="61" ht="20" customHeight="1">
      <x:c r="A61" s="26" t="str">
        <x:f>IF('迁盟总表'!B352="","",'迁盟总表'!B352)</x:f>
        <x:v>涵公主</x:v>
      </x:c>
      <x:c r="B61" s="27" t="str">
        <x:f>IF('迁盟总表'!C352="","",'迁盟总表'!C352)</x:f>
        <x:v>燕云</x:v>
      </x:c>
      <x:c r="C61" s="67" t="str">
        <x:f>IF('迁盟总表'!D352="","",'迁盟总表'!D352)</x:f>
        <x:v>燕云</x:v>
      </x:c>
      <x:c r="D61" s="27" t="str">
        <x:f>IF('迁盟总表'!E352="","",'迁盟总表'!E352)</x:f>
        <x:v>留盟</x:v>
      </x:c>
      <x:c r="E61" s="40" t="str">
        <x:f>IF('迁盟总表'!Q352="","",'迁盟总表'!Q352)</x:f>
      </x:c>
      <x:c r="F61" s="40" t="n">
        <x:f>IF('迁盟总表'!R352="","",'迁盟总表'!R352)</x:f>
        <x:v>23074615</x:v>
      </x:c>
      <x:c r="G61" s="40" t="n">
        <x:f>IF('迁盟总表'!S352="","",'迁盟总表'!S352)</x:f>
        <x:v>39158428</x:v>
      </x:c>
      <x:c r="H61" s="37" t="str">
        <x:f>IF('迁盟总表'!H352="","",'迁盟总表'!H352)</x:f>
      </x:c>
      <x:c r="I61" s="37" t="str">
        <x:f>IF('迁盟总表'!I352="","",'迁盟总表'!I352)</x:f>
      </x:c>
      <x:c r="J61" s="40" t="str">
        <x:f>IF('迁盟总表'!J352="","",'迁盟总表'!J352)</x:f>
      </x:c>
      <x:c r="K61" s="40" t="str">
        <x:f>IF('迁盟总表'!K352="","",'迁盟总表'!K352)</x:f>
      </x:c>
      <x:c r="L61" s="40" t="str">
        <x:f>IF('迁盟总表'!L352="","",'迁盟总表'!L352)</x:f>
      </x:c>
      <x:c r="M61" s="40" t="str">
        <x:f>IF('迁盟总表'!M352="","",'迁盟总表'!M352)</x:f>
      </x:c>
      <x:c r="N61" s="40" t="str">
        <x:f>IF('迁盟总表'!N352="","",'迁盟总表'!N352)</x:f>
      </x:c>
      <x:c r="O61" s="40" t="str">
        <x:f>IF('迁盟总表'!O352="","",'迁盟总表'!O352)</x:f>
      </x:c>
      <x:c r="P61" s="40" t="str">
        <x:f>IF('迁盟总表'!P352="","",'迁盟总表'!P352)</x:f>
      </x:c>
      <x:c r="Q61" s="43" t="n">
        <x:f>IF('迁盟总表'!X352="","",'迁盟总表'!X352)</x:f>
        <x:v>7.9</x:v>
      </x:c>
      <x:c r="R61" s="27" t="n">
        <x:f>IF('迁盟总表'!Y352="","",'迁盟总表'!Y352)</x:f>
        <x:v>347</x:v>
      </x:c>
      <x:c r="S61" s="55" t="str">
        <x:f>IF('迁盟总表'!Z352="","",'迁盟总表'!Z352)</x:f>
        <x:v>保持当前盟，减少迁移成本</x:v>
      </x:c>
    </x:row>
    <x:row r="62" ht="20" customHeight="1">
      <x:c r="A62" s="26" t="str">
        <x:f>IF('迁盟总表'!B353="","",'迁盟总表'!B353)</x:f>
        <x:v>莱菔子</x:v>
      </x:c>
      <x:c r="B62" s="27" t="str">
        <x:f>IF('迁盟总表'!C353="","",'迁盟总表'!C353)</x:f>
        <x:v>燕云</x:v>
      </x:c>
      <x:c r="C62" s="67" t="str">
        <x:f>IF('迁盟总表'!D353="","",'迁盟总表'!D353)</x:f>
        <x:v>燕云</x:v>
      </x:c>
      <x:c r="D62" s="27" t="str">
        <x:f>IF('迁盟总表'!E353="","",'迁盟总表'!E353)</x:f>
        <x:v>留盟</x:v>
      </x:c>
      <x:c r="E62" s="40" t="str">
        <x:f>IF('迁盟总表'!Q353="","",'迁盟总表'!Q353)</x:f>
      </x:c>
      <x:c r="F62" s="40" t="n">
        <x:f>IF('迁盟总表'!R353="","",'迁盟总表'!R353)</x:f>
        <x:v>21812091</x:v>
      </x:c>
      <x:c r="G62" s="40" t="n">
        <x:f>IF('迁盟总表'!S353="","",'迁盟总表'!S353)</x:f>
        <x:v>33168315</x:v>
      </x:c>
      <x:c r="H62" s="37" t="str">
        <x:f>IF('迁盟总表'!H353="","",'迁盟总表'!H353)</x:f>
      </x:c>
      <x:c r="I62" s="37" t="str">
        <x:f>IF('迁盟总表'!I353="","",'迁盟总表'!I353)</x:f>
      </x:c>
      <x:c r="J62" s="40" t="str">
        <x:f>IF('迁盟总表'!J353="","",'迁盟总表'!J353)</x:f>
      </x:c>
      <x:c r="K62" s="40" t="str">
        <x:f>IF('迁盟总表'!K353="","",'迁盟总表'!K353)</x:f>
      </x:c>
      <x:c r="L62" s="40" t="str">
        <x:f>IF('迁盟总表'!L353="","",'迁盟总表'!L353)</x:f>
      </x:c>
      <x:c r="M62" s="40" t="str">
        <x:f>IF('迁盟总表'!M353="","",'迁盟总表'!M353)</x:f>
      </x:c>
      <x:c r="N62" s="40" t="str">
        <x:f>IF('迁盟总表'!N353="","",'迁盟总表'!N353)</x:f>
      </x:c>
      <x:c r="O62" s="40" t="str">
        <x:f>IF('迁盟总表'!O353="","",'迁盟总表'!O353)</x:f>
      </x:c>
      <x:c r="P62" s="40" t="str">
        <x:f>IF('迁盟总表'!P353="","",'迁盟总表'!P353)</x:f>
      </x:c>
      <x:c r="Q62" s="43" t="n">
        <x:f>IF('迁盟总表'!X353="","",'迁盟总表'!X353)</x:f>
        <x:v>7.3</x:v>
      </x:c>
      <x:c r="R62" s="27" t="n">
        <x:f>IF('迁盟总表'!Y353="","",'迁盟总表'!Y353)</x:f>
        <x:v>349</x:v>
      </x:c>
      <x:c r="S62" s="55" t="str">
        <x:f>IF('迁盟总表'!Z353="","",'迁盟总表'!Z353)</x:f>
        <x:v>保持当前盟，减少迁移成本</x:v>
      </x:c>
    </x:row>
    <x:row r="63" ht="20" customHeight="1">
      <x:c r="A63" s="26" t="str">
        <x:f>IF('迁盟总表'!B354="","",'迁盟总表'!B354)</x:f>
        <x:v>一一一一一一一一</x:v>
      </x:c>
      <x:c r="B63" s="27" t="str">
        <x:f>IF('迁盟总表'!C354="","",'迁盟总表'!C354)</x:f>
        <x:v>燕云</x:v>
      </x:c>
      <x:c r="C63" s="67" t="str">
        <x:f>IF('迁盟总表'!D354="","",'迁盟总表'!D354)</x:f>
        <x:v>燕云</x:v>
      </x:c>
      <x:c r="D63" s="27" t="str">
        <x:f>IF('迁盟总表'!E354="","",'迁盟总表'!E354)</x:f>
        <x:v>留盟</x:v>
      </x:c>
      <x:c r="E63" s="40" t="str">
        <x:f>IF('迁盟总表'!Q354="","",'迁盟总表'!Q354)</x:f>
      </x:c>
      <x:c r="F63" s="40" t="n">
        <x:f>IF('迁盟总表'!R354="","",'迁盟总表'!R354)</x:f>
        <x:v>21473136</x:v>
      </x:c>
      <x:c r="G63" s="40" t="n">
        <x:f>IF('迁盟总表'!S354="","",'迁盟总表'!S354)</x:f>
        <x:v>30010141</x:v>
      </x:c>
      <x:c r="H63" s="37" t="str">
        <x:f>IF('迁盟总表'!H354="","",'迁盟总表'!H354)</x:f>
      </x:c>
      <x:c r="I63" s="37" t="str">
        <x:f>IF('迁盟总表'!I354="","",'迁盟总表'!I354)</x:f>
      </x:c>
      <x:c r="J63" s="40" t="str">
        <x:f>IF('迁盟总表'!J354="","",'迁盟总表'!J354)</x:f>
      </x:c>
      <x:c r="K63" s="40" t="str">
        <x:f>IF('迁盟总表'!K354="","",'迁盟总表'!K354)</x:f>
      </x:c>
      <x:c r="L63" s="40" t="str">
        <x:f>IF('迁盟总表'!L354="","",'迁盟总表'!L354)</x:f>
      </x:c>
      <x:c r="M63" s="40" t="str">
        <x:f>IF('迁盟总表'!M354="","",'迁盟总表'!M354)</x:f>
      </x:c>
      <x:c r="N63" s="40" t="str">
        <x:f>IF('迁盟总表'!N354="","",'迁盟总表'!N354)</x:f>
      </x:c>
      <x:c r="O63" s="40" t="str">
        <x:f>IF('迁盟总表'!O354="","",'迁盟总表'!O354)</x:f>
      </x:c>
      <x:c r="P63" s="40" t="str">
        <x:f>IF('迁盟总表'!P354="","",'迁盟总表'!P354)</x:f>
      </x:c>
      <x:c r="Q63" s="43" t="n">
        <x:f>IF('迁盟总表'!X354="","",'迁盟总表'!X354)</x:f>
        <x:v>7.1</x:v>
      </x:c>
      <x:c r="R63" s="27" t="n">
        <x:f>IF('迁盟总表'!Y354="","",'迁盟总表'!Y354)</x:f>
        <x:v>350</x:v>
      </x:c>
      <x:c r="S63" s="55" t="str">
        <x:f>IF('迁盟总表'!Z354="","",'迁盟总表'!Z354)</x:f>
        <x:v>保持当前盟，减少迁移成本</x:v>
      </x:c>
    </x:row>
    <x:row r="64" ht="20" customHeight="1">
      <x:c r="A64" s="26" t="str">
        <x:f>IF('迁盟总表'!B355="","",'迁盟总表'!B355)</x:f>
        <x:v>橘卿悦</x:v>
      </x:c>
      <x:c r="B64" s="27" t="str">
        <x:f>IF('迁盟总表'!C355="","",'迁盟总表'!C355)</x:f>
        <x:v>燕云</x:v>
      </x:c>
      <x:c r="C64" s="67" t="str">
        <x:f>IF('迁盟总表'!D355="","",'迁盟总表'!D355)</x:f>
        <x:v>燕云</x:v>
      </x:c>
      <x:c r="D64" s="27" t="str">
        <x:f>IF('迁盟总表'!E355="","",'迁盟总表'!E355)</x:f>
        <x:v>留盟</x:v>
      </x:c>
      <x:c r="E64" s="40" t="str">
        <x:f>IF('迁盟总表'!Q355="","",'迁盟总表'!Q355)</x:f>
      </x:c>
      <x:c r="F64" s="40" t="n">
        <x:f>IF('迁盟总表'!R355="","",'迁盟总表'!R355)</x:f>
        <x:v>20577305</x:v>
      </x:c>
      <x:c r="G64" s="40" t="n">
        <x:f>IF('迁盟总表'!S355="","",'迁盟总表'!S355)</x:f>
        <x:v>33186318</x:v>
      </x:c>
      <x:c r="H64" s="37" t="str">
        <x:f>IF('迁盟总表'!H355="","",'迁盟总表'!H355)</x:f>
      </x:c>
      <x:c r="I64" s="37" t="str">
        <x:f>IF('迁盟总表'!I355="","",'迁盟总表'!I355)</x:f>
      </x:c>
      <x:c r="J64" s="40" t="str">
        <x:f>IF('迁盟总表'!J355="","",'迁盟总表'!J355)</x:f>
      </x:c>
      <x:c r="K64" s="40" t="str">
        <x:f>IF('迁盟总表'!K355="","",'迁盟总表'!K355)</x:f>
      </x:c>
      <x:c r="L64" s="40" t="str">
        <x:f>IF('迁盟总表'!L355="","",'迁盟总表'!L355)</x:f>
      </x:c>
      <x:c r="M64" s="40" t="str">
        <x:f>IF('迁盟总表'!M355="","",'迁盟总表'!M355)</x:f>
      </x:c>
      <x:c r="N64" s="40" t="str">
        <x:f>IF('迁盟总表'!N355="","",'迁盟总表'!N355)</x:f>
      </x:c>
      <x:c r="O64" s="40" t="str">
        <x:f>IF('迁盟总表'!O355="","",'迁盟总表'!O355)</x:f>
      </x:c>
      <x:c r="P64" s="40" t="str">
        <x:f>IF('迁盟总表'!P355="","",'迁盟总表'!P355)</x:f>
      </x:c>
      <x:c r="Q64" s="43" t="n">
        <x:f>IF('迁盟总表'!X355="","",'迁盟总表'!X355)</x:f>
        <x:v>7</x:v>
      </x:c>
      <x:c r="R64" s="27" t="n">
        <x:f>IF('迁盟总表'!Y355="","",'迁盟总表'!Y355)</x:f>
        <x:v>351</x:v>
      </x:c>
      <x:c r="S64" s="55" t="str">
        <x:f>IF('迁盟总表'!Z355="","",'迁盟总表'!Z355)</x:f>
        <x:v>保持当前盟，减少迁移成本</x:v>
      </x:c>
    </x:row>
    <x:row r="65" ht="20" customHeight="1">
      <x:c r="A65" s="26" t="str">
        <x:f>IF('迁盟总表'!B356="","",'迁盟总表'!B356)</x:f>
        <x:v>巴丹吉林</x:v>
      </x:c>
      <x:c r="B65" s="27" t="str">
        <x:f>IF('迁盟总表'!C356="","",'迁盟总表'!C356)</x:f>
        <x:v>燕云</x:v>
      </x:c>
      <x:c r="C65" s="67" t="str">
        <x:f>IF('迁盟总表'!D356="","",'迁盟总表'!D356)</x:f>
        <x:v>燕云</x:v>
      </x:c>
      <x:c r="D65" s="27" t="str">
        <x:f>IF('迁盟总表'!E356="","",'迁盟总表'!E356)</x:f>
        <x:v>留盟</x:v>
      </x:c>
      <x:c r="E65" s="40" t="str">
        <x:f>IF('迁盟总表'!Q356="","",'迁盟总表'!Q356)</x:f>
      </x:c>
      <x:c r="F65" s="40" t="n">
        <x:f>IF('迁盟总表'!R356="","",'迁盟总表'!R356)</x:f>
        <x:v>19953517</x:v>
      </x:c>
      <x:c r="G65" s="40" t="n">
        <x:f>IF('迁盟总表'!S356="","",'迁盟总表'!S356)</x:f>
        <x:v>35798746</x:v>
      </x:c>
      <x:c r="H65" s="37" t="str">
        <x:f>IF('迁盟总表'!H356="","",'迁盟总表'!H356)</x:f>
      </x:c>
      <x:c r="I65" s="37" t="str">
        <x:f>IF('迁盟总表'!I356="","",'迁盟总表'!I356)</x:f>
      </x:c>
      <x:c r="J65" s="40" t="str">
        <x:f>IF('迁盟总表'!J356="","",'迁盟总表'!J356)</x:f>
      </x:c>
      <x:c r="K65" s="40" t="str">
        <x:f>IF('迁盟总表'!K356="","",'迁盟总表'!K356)</x:f>
      </x:c>
      <x:c r="L65" s="40" t="str">
        <x:f>IF('迁盟总表'!L356="","",'迁盟总表'!L356)</x:f>
      </x:c>
      <x:c r="M65" s="40" t="str">
        <x:f>IF('迁盟总表'!M356="","",'迁盟总表'!M356)</x:f>
      </x:c>
      <x:c r="N65" s="40" t="str">
        <x:f>IF('迁盟总表'!N356="","",'迁盟总表'!N356)</x:f>
      </x:c>
      <x:c r="O65" s="40" t="str">
        <x:f>IF('迁盟总表'!O356="","",'迁盟总表'!O356)</x:f>
      </x:c>
      <x:c r="P65" s="40" t="str">
        <x:f>IF('迁盟总表'!P356="","",'迁盟总表'!P356)</x:f>
      </x:c>
      <x:c r="Q65" s="43" t="n">
        <x:f>IF('迁盟总表'!X356="","",'迁盟总表'!X356)</x:f>
        <x:v>6.9</x:v>
      </x:c>
      <x:c r="R65" s="27" t="n">
        <x:f>IF('迁盟总表'!Y356="","",'迁盟总表'!Y356)</x:f>
        <x:v>352</x:v>
      </x:c>
      <x:c r="S65" s="55" t="str">
        <x:f>IF('迁盟总表'!Z356="","",'迁盟总表'!Z356)</x:f>
        <x:v>保持当前盟，减少迁移成本</x:v>
      </x:c>
    </x:row>
    <x:row r="66" ht="20" customHeight="1">
      <x:c r="A66" s="26" t="str">
        <x:f>IF('迁盟总表'!B357="","",'迁盟总表'!B357)</x:f>
        <x:v>梦回三国戏貂蝉</x:v>
      </x:c>
      <x:c r="B66" s="27" t="str">
        <x:f>IF('迁盟总表'!C357="","",'迁盟总表'!C357)</x:f>
        <x:v>燕云</x:v>
      </x:c>
      <x:c r="C66" s="67" t="str">
        <x:f>IF('迁盟总表'!D357="","",'迁盟总表'!D357)</x:f>
        <x:v>燕云</x:v>
      </x:c>
      <x:c r="D66" s="27" t="str">
        <x:f>IF('迁盟总表'!E357="","",'迁盟总表'!E357)</x:f>
        <x:v>留盟</x:v>
      </x:c>
      <x:c r="E66" s="40" t="str">
        <x:f>IF('迁盟总表'!Q357="","",'迁盟总表'!Q357)</x:f>
      </x:c>
      <x:c r="F66" s="40" t="n">
        <x:f>IF('迁盟总表'!R357="","",'迁盟总表'!R357)</x:f>
        <x:v>17569351</x:v>
      </x:c>
      <x:c r="G66" s="40" t="n">
        <x:f>IF('迁盟总表'!S357="","",'迁盟总表'!S357)</x:f>
        <x:v>22115002</x:v>
      </x:c>
      <x:c r="H66" s="37" t="str">
        <x:f>IF('迁盟总表'!H357="","",'迁盟总表'!H357)</x:f>
      </x:c>
      <x:c r="I66" s="37" t="str">
        <x:f>IF('迁盟总表'!I357="","",'迁盟总表'!I357)</x:f>
      </x:c>
      <x:c r="J66" s="40" t="str">
        <x:f>IF('迁盟总表'!J357="","",'迁盟总表'!J357)</x:f>
      </x:c>
      <x:c r="K66" s="40" t="str">
        <x:f>IF('迁盟总表'!K357="","",'迁盟总表'!K357)</x:f>
      </x:c>
      <x:c r="L66" s="40" t="str">
        <x:f>IF('迁盟总表'!L357="","",'迁盟总表'!L357)</x:f>
      </x:c>
      <x:c r="M66" s="40" t="str">
        <x:f>IF('迁盟总表'!M357="","",'迁盟总表'!M357)</x:f>
      </x:c>
      <x:c r="N66" s="40" t="str">
        <x:f>IF('迁盟总表'!N357="","",'迁盟总表'!N357)</x:f>
      </x:c>
      <x:c r="O66" s="40" t="str">
        <x:f>IF('迁盟总表'!O357="","",'迁盟总表'!O357)</x:f>
      </x:c>
      <x:c r="P66" s="40" t="str">
        <x:f>IF('迁盟总表'!P357="","",'迁盟总表'!P357)</x:f>
      </x:c>
      <x:c r="Q66" s="43" t="n">
        <x:f>IF('迁盟总表'!X357="","",'迁盟总表'!X357)</x:f>
        <x:v>5.8</x:v>
      </x:c>
      <x:c r="R66" s="27" t="n">
        <x:f>IF('迁盟总表'!Y357="","",'迁盟总表'!Y357)</x:f>
        <x:v>353</x:v>
      </x:c>
      <x:c r="S66" s="55" t="str">
        <x:f>IF('迁盟总表'!Z357="","",'迁盟总表'!Z357)</x:f>
        <x:v>保持当前盟，减少迁移成本</x:v>
      </x:c>
    </x:row>
    <x:row r="67" ht="20" customHeight="1">
      <x:c r="A67" s="26" t="str">
        <x:f>IF('迁盟总表'!B358="","",'迁盟总表'!B358)</x:f>
        <x:v>祈愿星</x:v>
      </x:c>
      <x:c r="B67" s="27" t="str">
        <x:f>IF('迁盟总表'!C358="","",'迁盟总表'!C358)</x:f>
        <x:v>燕云</x:v>
      </x:c>
      <x:c r="C67" s="67" t="str">
        <x:f>IF('迁盟总表'!D358="","",'迁盟总表'!D358)</x:f>
        <x:v>燕云</x:v>
      </x:c>
      <x:c r="D67" s="27" t="str">
        <x:f>IF('迁盟总表'!E358="","",'迁盟总表'!E358)</x:f>
        <x:v>留盟</x:v>
      </x:c>
      <x:c r="E67" s="40" t="str">
        <x:f>IF('迁盟总表'!Q358="","",'迁盟总表'!Q358)</x:f>
      </x:c>
      <x:c r="F67" s="40" t="n">
        <x:f>IF('迁盟总表'!R358="","",'迁盟总表'!R358)</x:f>
        <x:v>16982093</x:v>
      </x:c>
      <x:c r="G67" s="40" t="n">
        <x:f>IF('迁盟总表'!S358="","",'迁盟总表'!S358)</x:f>
        <x:v>24123330</x:v>
      </x:c>
      <x:c r="H67" s="37" t="str">
        <x:f>IF('迁盟总表'!H358="","",'迁盟总表'!H358)</x:f>
      </x:c>
      <x:c r="I67" s="37" t="str">
        <x:f>IF('迁盟总表'!I358="","",'迁盟总表'!I358)</x:f>
      </x:c>
      <x:c r="J67" s="40" t="str">
        <x:f>IF('迁盟总表'!J358="","",'迁盟总表'!J358)</x:f>
      </x:c>
      <x:c r="K67" s="40" t="str">
        <x:f>IF('迁盟总表'!K358="","",'迁盟总表'!K358)</x:f>
      </x:c>
      <x:c r="L67" s="40" t="str">
        <x:f>IF('迁盟总表'!L358="","",'迁盟总表'!L358)</x:f>
      </x:c>
      <x:c r="M67" s="40" t="str">
        <x:f>IF('迁盟总表'!M358="","",'迁盟总表'!M358)</x:f>
      </x:c>
      <x:c r="N67" s="40" t="str">
        <x:f>IF('迁盟总表'!N358="","",'迁盟总表'!N358)</x:f>
      </x:c>
      <x:c r="O67" s="40" t="str">
        <x:f>IF('迁盟总表'!O358="","",'迁盟总表'!O358)</x:f>
      </x:c>
      <x:c r="P67" s="40" t="str">
        <x:f>IF('迁盟总表'!P358="","",'迁盟总表'!P358)</x:f>
      </x:c>
      <x:c r="Q67" s="43" t="n">
        <x:f>IF('迁盟总表'!X358="","",'迁盟总表'!X358)</x:f>
        <x:v>5.7</x:v>
      </x:c>
      <x:c r="R67" s="27" t="n">
        <x:f>IF('迁盟总表'!Y358="","",'迁盟总表'!Y358)</x:f>
        <x:v>354</x:v>
      </x:c>
      <x:c r="S67" s="55" t="str">
        <x:f>IF('迁盟总表'!Z358="","",'迁盟总表'!Z358)</x:f>
        <x:v>保持当前盟，减少迁移成本</x:v>
      </x:c>
    </x:row>
    <x:row r="68" ht="20" customHeight="1">
      <x:c r="A68" s="26" t="str">
        <x:f>IF('迁盟总表'!B359="","",'迁盟总表'!B359)</x:f>
        <x:v>诶你这个</x:v>
      </x:c>
      <x:c r="B68" s="27" t="str">
        <x:f>IF('迁盟总表'!C359="","",'迁盟总表'!C359)</x:f>
        <x:v>燕云</x:v>
      </x:c>
      <x:c r="C68" s="67" t="str">
        <x:f>IF('迁盟总表'!D359="","",'迁盟总表'!D359)</x:f>
        <x:v>燕云</x:v>
      </x:c>
      <x:c r="D68" s="27" t="str">
        <x:f>IF('迁盟总表'!E359="","",'迁盟总表'!E359)</x:f>
        <x:v>留盟</x:v>
      </x:c>
      <x:c r="E68" s="40" t="str">
        <x:f>IF('迁盟总表'!Q359="","",'迁盟总表'!Q359)</x:f>
      </x:c>
      <x:c r="F68" s="40" t="n">
        <x:f>IF('迁盟总表'!R359="","",'迁盟总表'!R359)</x:f>
        <x:v>16853631</x:v>
      </x:c>
      <x:c r="G68" s="40" t="n">
        <x:f>IF('迁盟总表'!S359="","",'迁盟总表'!S359)</x:f>
        <x:v>21560280</x:v>
      </x:c>
      <x:c r="H68" s="37" t="str">
        <x:f>IF('迁盟总表'!H359="","",'迁盟总表'!H359)</x:f>
      </x:c>
      <x:c r="I68" s="37" t="str">
        <x:f>IF('迁盟总表'!I359="","",'迁盟总表'!I359)</x:f>
      </x:c>
      <x:c r="J68" s="40" t="str">
        <x:f>IF('迁盟总表'!J359="","",'迁盟总表'!J359)</x:f>
      </x:c>
      <x:c r="K68" s="40" t="str">
        <x:f>IF('迁盟总表'!K359="","",'迁盟总表'!K359)</x:f>
      </x:c>
      <x:c r="L68" s="40" t="str">
        <x:f>IF('迁盟总表'!L359="","",'迁盟总表'!L359)</x:f>
      </x:c>
      <x:c r="M68" s="40" t="str">
        <x:f>IF('迁盟总表'!M359="","",'迁盟总表'!M359)</x:f>
      </x:c>
      <x:c r="N68" s="40" t="str">
        <x:f>IF('迁盟总表'!N359="","",'迁盟总表'!N359)</x:f>
      </x:c>
      <x:c r="O68" s="40" t="str">
        <x:f>IF('迁盟总表'!O359="","",'迁盟总表'!O359)</x:f>
      </x:c>
      <x:c r="P68" s="40" t="str">
        <x:f>IF('迁盟总表'!P359="","",'迁盟总表'!P359)</x:f>
      </x:c>
      <x:c r="Q68" s="43" t="n">
        <x:f>IF('迁盟总表'!X359="","",'迁盟总表'!X359)</x:f>
        <x:v>5.5</x:v>
      </x:c>
      <x:c r="R68" s="27" t="n">
        <x:f>IF('迁盟总表'!Y359="","",'迁盟总表'!Y359)</x:f>
        <x:v>355</x:v>
      </x:c>
      <x:c r="S68" s="55" t="str">
        <x:f>IF('迁盟总表'!Z359="","",'迁盟总表'!Z359)</x:f>
        <x:v>保持当前盟，减少迁移成本</x:v>
      </x:c>
    </x:row>
    <x:row r="69" ht="20" customHeight="1">
      <x:c r="A69" s="26" t="str">
        <x:f>IF('迁盟总表'!B360="","",'迁盟总表'!B360)</x:f>
        <x:v>西李楼帝国</x:v>
      </x:c>
      <x:c r="B69" s="27" t="str">
        <x:f>IF('迁盟总表'!C360="","",'迁盟总表'!C360)</x:f>
        <x:v>燕云</x:v>
      </x:c>
      <x:c r="C69" s="67" t="str">
        <x:f>IF('迁盟总表'!D360="","",'迁盟总表'!D360)</x:f>
        <x:v>燕云</x:v>
      </x:c>
      <x:c r="D69" s="27" t="str">
        <x:f>IF('迁盟总表'!E360="","",'迁盟总表'!E360)</x:f>
        <x:v>留盟</x:v>
      </x:c>
      <x:c r="E69" s="40" t="str">
        <x:f>IF('迁盟总表'!Q360="","",'迁盟总表'!Q360)</x:f>
      </x:c>
      <x:c r="F69" s="40" t="n">
        <x:f>IF('迁盟总表'!R360="","",'迁盟总表'!R360)</x:f>
        <x:v>14657719</x:v>
      </x:c>
      <x:c r="G69" s="40" t="n">
        <x:f>IF('迁盟总表'!S360="","",'迁盟总表'!S360)</x:f>
        <x:v>20505026</x:v>
      </x:c>
      <x:c r="H69" s="37" t="str">
        <x:f>IF('迁盟总表'!H360="","",'迁盟总表'!H360)</x:f>
      </x:c>
      <x:c r="I69" s="37" t="str">
        <x:f>IF('迁盟总表'!I360="","",'迁盟总表'!I360)</x:f>
      </x:c>
      <x:c r="J69" s="40" t="str">
        <x:f>IF('迁盟总表'!J360="","",'迁盟总表'!J360)</x:f>
      </x:c>
      <x:c r="K69" s="40" t="str">
        <x:f>IF('迁盟总表'!K360="","",'迁盟总表'!K360)</x:f>
      </x:c>
      <x:c r="L69" s="40" t="str">
        <x:f>IF('迁盟总表'!L360="","",'迁盟总表'!L360)</x:f>
      </x:c>
      <x:c r="M69" s="40" t="str">
        <x:f>IF('迁盟总表'!M360="","",'迁盟总表'!M360)</x:f>
      </x:c>
      <x:c r="N69" s="40" t="str">
        <x:f>IF('迁盟总表'!N360="","",'迁盟总表'!N360)</x:f>
      </x:c>
      <x:c r="O69" s="40" t="str">
        <x:f>IF('迁盟总表'!O360="","",'迁盟总表'!O360)</x:f>
      </x:c>
      <x:c r="P69" s="40" t="str">
        <x:f>IF('迁盟总表'!P360="","",'迁盟总表'!P360)</x:f>
      </x:c>
      <x:c r="Q69" s="43" t="n">
        <x:f>IF('迁盟总表'!X360="","",'迁盟总表'!X360)</x:f>
        <x:v>4.9</x:v>
      </x:c>
      <x:c r="R69" s="27" t="n">
        <x:f>IF('迁盟总表'!Y360="","",'迁盟总表'!Y360)</x:f>
        <x:v>356</x:v>
      </x:c>
      <x:c r="S69" s="55" t="str">
        <x:f>IF('迁盟总表'!Z360="","",'迁盟总表'!Z360)</x:f>
        <x:v>保持当前盟，减少迁移成本</x:v>
      </x:c>
    </x:row>
    <x:row r="70" ht="20" customHeight="1">
      <x:c r="A70" s="26" t="str">
        <x:f>IF('迁盟总表'!B361="","",'迁盟总表'!B361)</x:f>
        <x:v>星火璀璨</x:v>
      </x:c>
      <x:c r="B70" s="27" t="str">
        <x:f>IF('迁盟总表'!C361="","",'迁盟总表'!C361)</x:f>
        <x:v>燕云</x:v>
      </x:c>
      <x:c r="C70" s="67" t="str">
        <x:f>IF('迁盟总表'!D361="","",'迁盟总表'!D361)</x:f>
        <x:v>燕云</x:v>
      </x:c>
      <x:c r="D70" s="27" t="str">
        <x:f>IF('迁盟总表'!E361="","",'迁盟总表'!E361)</x:f>
        <x:v>留盟</x:v>
      </x:c>
      <x:c r="E70" s="40" t="str">
        <x:f>IF('迁盟总表'!Q361="","",'迁盟总表'!Q361)</x:f>
      </x:c>
      <x:c r="F70" s="40" t="n">
        <x:f>IF('迁盟总表'!R361="","",'迁盟总表'!R361)</x:f>
        <x:v>13758472</x:v>
      </x:c>
      <x:c r="G70" s="40" t="n">
        <x:f>IF('迁盟总表'!S361="","",'迁盟总表'!S361)</x:f>
        <x:v>20164115</x:v>
      </x:c>
      <x:c r="H70" s="37" t="str">
        <x:f>IF('迁盟总表'!H361="","",'迁盟总表'!H361)</x:f>
      </x:c>
      <x:c r="I70" s="37" t="str">
        <x:f>IF('迁盟总表'!I361="","",'迁盟总表'!I361)</x:f>
      </x:c>
      <x:c r="J70" s="40" t="str">
        <x:f>IF('迁盟总表'!J361="","",'迁盟总表'!J361)</x:f>
      </x:c>
      <x:c r="K70" s="40" t="str">
        <x:f>IF('迁盟总表'!K361="","",'迁盟总表'!K361)</x:f>
      </x:c>
      <x:c r="L70" s="40" t="str">
        <x:f>IF('迁盟总表'!L361="","",'迁盟总表'!L361)</x:f>
      </x:c>
      <x:c r="M70" s="40" t="str">
        <x:f>IF('迁盟总表'!M361="","",'迁盟总表'!M361)</x:f>
      </x:c>
      <x:c r="N70" s="40" t="str">
        <x:f>IF('迁盟总表'!N361="","",'迁盟总表'!N361)</x:f>
      </x:c>
      <x:c r="O70" s="40" t="str">
        <x:f>IF('迁盟总表'!O361="","",'迁盟总表'!O361)</x:f>
      </x:c>
      <x:c r="P70" s="40" t="str">
        <x:f>IF('迁盟总表'!P361="","",'迁盟总表'!P361)</x:f>
      </x:c>
      <x:c r="Q70" s="43" t="n">
        <x:f>IF('迁盟总表'!X361="","",'迁盟总表'!X361)</x:f>
        <x:v>4.6</x:v>
      </x:c>
      <x:c r="R70" s="27" t="n">
        <x:f>IF('迁盟总表'!Y361="","",'迁盟总表'!Y361)</x:f>
        <x:v>357</x:v>
      </x:c>
      <x:c r="S70" s="55" t="str">
        <x:f>IF('迁盟总表'!Z361="","",'迁盟总表'!Z361)</x:f>
        <x:v>保持当前盟，减少迁移成本</x:v>
      </x:c>
    </x:row>
    <x:row r="71" ht="20" customHeight="1">
      <x:c r="A71" s="26" t="str">
        <x:f>IF('迁盟总表'!B362="","",'迁盟总表'!B362)</x:f>
        <x:v>江南北国</x:v>
      </x:c>
      <x:c r="B71" s="27" t="str">
        <x:f>IF('迁盟总表'!C362="","",'迁盟总表'!C362)</x:f>
        <x:v>燕云</x:v>
      </x:c>
      <x:c r="C71" s="67" t="str">
        <x:f>IF('迁盟总表'!D362="","",'迁盟总表'!D362)</x:f>
        <x:v>燕云</x:v>
      </x:c>
      <x:c r="D71" s="27" t="str">
        <x:f>IF('迁盟总表'!E362="","",'迁盟总表'!E362)</x:f>
        <x:v>留盟</x:v>
      </x:c>
      <x:c r="E71" s="40" t="str">
        <x:f>IF('迁盟总表'!Q362="","",'迁盟总表'!Q362)</x:f>
      </x:c>
      <x:c r="F71" s="40" t="n">
        <x:f>IF('迁盟总表'!R362="","",'迁盟总表'!R362)</x:f>
        <x:v>13040586</x:v>
      </x:c>
      <x:c r="G71" s="40" t="n">
        <x:f>IF('迁盟总表'!S362="","",'迁盟总表'!S362)</x:f>
        <x:v>19890983</x:v>
      </x:c>
      <x:c r="H71" s="37" t="str">
        <x:f>IF('迁盟总表'!H362="","",'迁盟总表'!H362)</x:f>
      </x:c>
      <x:c r="I71" s="37" t="str">
        <x:f>IF('迁盟总表'!I362="","",'迁盟总表'!I362)</x:f>
      </x:c>
      <x:c r="J71" s="40" t="str">
        <x:f>IF('迁盟总表'!J362="","",'迁盟总表'!J362)</x:f>
      </x:c>
      <x:c r="K71" s="40" t="str">
        <x:f>IF('迁盟总表'!K362="","",'迁盟总表'!K362)</x:f>
      </x:c>
      <x:c r="L71" s="40" t="str">
        <x:f>IF('迁盟总表'!L362="","",'迁盟总表'!L362)</x:f>
      </x:c>
      <x:c r="M71" s="40" t="str">
        <x:f>IF('迁盟总表'!M362="","",'迁盟总表'!M362)</x:f>
      </x:c>
      <x:c r="N71" s="40" t="str">
        <x:f>IF('迁盟总表'!N362="","",'迁盟总表'!N362)</x:f>
      </x:c>
      <x:c r="O71" s="40" t="str">
        <x:f>IF('迁盟总表'!O362="","",'迁盟总表'!O362)</x:f>
      </x:c>
      <x:c r="P71" s="40" t="str">
        <x:f>IF('迁盟总表'!P362="","",'迁盟总表'!P362)</x:f>
      </x:c>
      <x:c r="Q71" s="43" t="n">
        <x:f>IF('迁盟总表'!X362="","",'迁盟总表'!X362)</x:f>
        <x:v>4.4</x:v>
      </x:c>
      <x:c r="R71" s="27" t="n">
        <x:f>IF('迁盟总表'!Y362="","",'迁盟总表'!Y362)</x:f>
        <x:v>358</x:v>
      </x:c>
      <x:c r="S71" s="55" t="str">
        <x:f>IF('迁盟总表'!Z362="","",'迁盟总表'!Z362)</x:f>
        <x:v>保持当前盟，减少迁移成本</x:v>
      </x:c>
    </x:row>
    <x:row r="72" ht="20" customHeight="1">
      <x:c r="A72" s="26" t="str">
        <x:f>IF('迁盟总表'!B363="","",'迁盟总表'!B363)</x:f>
        <x:v>取名太难</x:v>
      </x:c>
      <x:c r="B72" s="27" t="str">
        <x:f>IF('迁盟总表'!C363="","",'迁盟总表'!C363)</x:f>
        <x:v>燕云</x:v>
      </x:c>
      <x:c r="C72" s="67" t="str">
        <x:f>IF('迁盟总表'!D363="","",'迁盟总表'!D363)</x:f>
        <x:v>燕云</x:v>
      </x:c>
      <x:c r="D72" s="27" t="str">
        <x:f>IF('迁盟总表'!E363="","",'迁盟总表'!E363)</x:f>
        <x:v>留盟</x:v>
      </x:c>
      <x:c r="E72" s="40" t="str">
        <x:f>IF('迁盟总表'!Q363="","",'迁盟总表'!Q363)</x:f>
      </x:c>
      <x:c r="F72" s="40" t="n">
        <x:f>IF('迁盟总表'!R363="","",'迁盟总表'!R363)</x:f>
        <x:v>11422722</x:v>
      </x:c>
      <x:c r="G72" s="40" t="n">
        <x:f>IF('迁盟总表'!S363="","",'迁盟总表'!S363)</x:f>
        <x:v>18184660</x:v>
      </x:c>
      <x:c r="H72" s="37" t="str">
        <x:f>IF('迁盟总表'!H363="","",'迁盟总表'!H363)</x:f>
      </x:c>
      <x:c r="I72" s="37" t="str">
        <x:f>IF('迁盟总表'!I363="","",'迁盟总表'!I363)</x:f>
      </x:c>
      <x:c r="J72" s="40" t="str">
        <x:f>IF('迁盟总表'!J363="","",'迁盟总表'!J363)</x:f>
      </x:c>
      <x:c r="K72" s="40" t="str">
        <x:f>IF('迁盟总表'!K363="","",'迁盟总表'!K363)</x:f>
      </x:c>
      <x:c r="L72" s="40" t="str">
        <x:f>IF('迁盟总表'!L363="","",'迁盟总表'!L363)</x:f>
      </x:c>
      <x:c r="M72" s="40" t="str">
        <x:f>IF('迁盟总表'!M363="","",'迁盟总表'!M363)</x:f>
      </x:c>
      <x:c r="N72" s="40" t="str">
        <x:f>IF('迁盟总表'!N363="","",'迁盟总表'!N363)</x:f>
      </x:c>
      <x:c r="O72" s="40" t="str">
        <x:f>IF('迁盟总表'!O363="","",'迁盟总表'!O363)</x:f>
      </x:c>
      <x:c r="P72" s="40" t="str">
        <x:f>IF('迁盟总表'!P363="","",'迁盟总表'!P363)</x:f>
      </x:c>
      <x:c r="Q72" s="43" t="n">
        <x:f>IF('迁盟总表'!X363="","",'迁盟总表'!X363)</x:f>
        <x:v>3.9</x:v>
      </x:c>
      <x:c r="R72" s="27" t="n">
        <x:f>IF('迁盟总表'!Y363="","",'迁盟总表'!Y363)</x:f>
        <x:v>359</x:v>
      </x:c>
      <x:c r="S72" s="55" t="str">
        <x:f>IF('迁盟总表'!Z363="","",'迁盟总表'!Z363)</x:f>
        <x:v>保持当前盟，减少迁移成本</x:v>
      </x:c>
    </x:row>
    <x:row r="73" ht="20" customHeight="1">
      <x:c r="A73" s="26" t="str">
        <x:f>IF('迁盟总表'!B364="","",'迁盟总表'!B364)</x:f>
        <x:v>大头贴</x:v>
      </x:c>
      <x:c r="B73" s="27" t="str">
        <x:f>IF('迁盟总表'!C364="","",'迁盟总表'!C364)</x:f>
        <x:v>燕云</x:v>
      </x:c>
      <x:c r="C73" s="67" t="str">
        <x:f>IF('迁盟总表'!D364="","",'迁盟总表'!D364)</x:f>
        <x:v>燕云</x:v>
      </x:c>
      <x:c r="D73" s="27" t="str">
        <x:f>IF('迁盟总表'!E364="","",'迁盟总表'!E364)</x:f>
        <x:v>留盟</x:v>
      </x:c>
      <x:c r="E73" s="40" t="str">
        <x:f>IF('迁盟总表'!Q364="","",'迁盟总表'!Q364)</x:f>
      </x:c>
      <x:c r="F73" s="40" t="n">
        <x:f>IF('迁盟总表'!R364="","",'迁盟总表'!R364)</x:f>
        <x:v>11272226</x:v>
      </x:c>
      <x:c r="G73" s="40" t="n">
        <x:f>IF('迁盟总表'!S364="","",'迁盟总表'!S364)</x:f>
        <x:v>16590787</x:v>
      </x:c>
      <x:c r="H73" s="37" t="str">
        <x:f>IF('迁盟总表'!H364="","",'迁盟总表'!H364)</x:f>
      </x:c>
      <x:c r="I73" s="37" t="str">
        <x:f>IF('迁盟总表'!I364="","",'迁盟总表'!I364)</x:f>
      </x:c>
      <x:c r="J73" s="40" t="str">
        <x:f>IF('迁盟总表'!J364="","",'迁盟总表'!J364)</x:f>
      </x:c>
      <x:c r="K73" s="40" t="str">
        <x:f>IF('迁盟总表'!K364="","",'迁盟总表'!K364)</x:f>
      </x:c>
      <x:c r="L73" s="40" t="str">
        <x:f>IF('迁盟总表'!L364="","",'迁盟总表'!L364)</x:f>
      </x:c>
      <x:c r="M73" s="40" t="str">
        <x:f>IF('迁盟总表'!M364="","",'迁盟总表'!M364)</x:f>
      </x:c>
      <x:c r="N73" s="40" t="str">
        <x:f>IF('迁盟总表'!N364="","",'迁盟总表'!N364)</x:f>
      </x:c>
      <x:c r="O73" s="40" t="str">
        <x:f>IF('迁盟总表'!O364="","",'迁盟总表'!O364)</x:f>
      </x:c>
      <x:c r="P73" s="40" t="str">
        <x:f>IF('迁盟总表'!P364="","",'迁盟总表'!P364)</x:f>
      </x:c>
      <x:c r="Q73" s="43" t="n">
        <x:f>IF('迁盟总表'!X364="","",'迁盟总表'!X364)</x:f>
        <x:v>3.8</x:v>
      </x:c>
      <x:c r="R73" s="27" t="n">
        <x:f>IF('迁盟总表'!Y364="","",'迁盟总表'!Y364)</x:f>
        <x:v>360</x:v>
      </x:c>
      <x:c r="S73" s="55" t="str">
        <x:f>IF('迁盟总表'!Z364="","",'迁盟总表'!Z364)</x:f>
        <x:v>保持当前盟，减少迁移成本</x:v>
      </x:c>
    </x:row>
    <x:row r="74" ht="20" customHeight="1">
      <x:c r="A74" s="26" t="str">
        <x:f>IF('迁盟总表'!B365="","",'迁盟总表'!B365)</x:f>
        <x:v>吕布灬</x:v>
      </x:c>
      <x:c r="B74" s="27" t="str">
        <x:f>IF('迁盟总表'!C365="","",'迁盟总表'!C365)</x:f>
        <x:v>燕云</x:v>
      </x:c>
      <x:c r="C74" s="67" t="str">
        <x:f>IF('迁盟总表'!D365="","",'迁盟总表'!D365)</x:f>
        <x:v>燕云</x:v>
      </x:c>
      <x:c r="D74" s="27" t="str">
        <x:f>IF('迁盟总表'!E365="","",'迁盟总表'!E365)</x:f>
        <x:v>留盟</x:v>
      </x:c>
      <x:c r="E74" s="40" t="str">
        <x:f>IF('迁盟总表'!Q365="","",'迁盟总表'!Q365)</x:f>
      </x:c>
      <x:c r="F74" s="40" t="n">
        <x:f>IF('迁盟总表'!R365="","",'迁盟总表'!R365)</x:f>
        <x:v>10918084</x:v>
      </x:c>
      <x:c r="G74" s="40" t="n">
        <x:f>IF('迁盟总表'!S365="","",'迁盟总表'!S365)</x:f>
        <x:v>13534406</x:v>
      </x:c>
      <x:c r="H74" s="37" t="str">
        <x:f>IF('迁盟总表'!H365="","",'迁盟总表'!H365)</x:f>
      </x:c>
      <x:c r="I74" s="37" t="str">
        <x:f>IF('迁盟总表'!I365="","",'迁盟总表'!I365)</x:f>
      </x:c>
      <x:c r="J74" s="40" t="str">
        <x:f>IF('迁盟总表'!J365="","",'迁盟总表'!J365)</x:f>
      </x:c>
      <x:c r="K74" s="40" t="str">
        <x:f>IF('迁盟总表'!K365="","",'迁盟总表'!K365)</x:f>
      </x:c>
      <x:c r="L74" s="40" t="str">
        <x:f>IF('迁盟总表'!L365="","",'迁盟总表'!L365)</x:f>
      </x:c>
      <x:c r="M74" s="40" t="str">
        <x:f>IF('迁盟总表'!M365="","",'迁盟总表'!M365)</x:f>
      </x:c>
      <x:c r="N74" s="40" t="str">
        <x:f>IF('迁盟总表'!N365="","",'迁盟总表'!N365)</x:f>
      </x:c>
      <x:c r="O74" s="40" t="str">
        <x:f>IF('迁盟总表'!O365="","",'迁盟总表'!O365)</x:f>
      </x:c>
      <x:c r="P74" s="40" t="str">
        <x:f>IF('迁盟总表'!P365="","",'迁盟总表'!P365)</x:f>
      </x:c>
      <x:c r="Q74" s="43" t="n">
        <x:f>IF('迁盟总表'!X365="","",'迁盟总表'!X365)</x:f>
        <x:v>3.6</x:v>
      </x:c>
      <x:c r="R74" s="27" t="n">
        <x:f>IF('迁盟总表'!Y365="","",'迁盟总表'!Y365)</x:f>
        <x:v>361</x:v>
      </x:c>
      <x:c r="S74" s="55" t="str">
        <x:f>IF('迁盟总表'!Z365="","",'迁盟总表'!Z365)</x:f>
        <x:v>保持当前盟，减少迁移成本</x:v>
      </x:c>
    </x:row>
    <x:row r="75" ht="20" customHeight="1">
      <x:c r="A75" s="26" t="str">
        <x:f>IF('迁盟总表'!B366="","",'迁盟总表'!B366)</x:f>
        <x:v>飘逸凡尘</x:v>
      </x:c>
      <x:c r="B75" s="27" t="str">
        <x:f>IF('迁盟总表'!C366="","",'迁盟总表'!C366)</x:f>
        <x:v>燕云</x:v>
      </x:c>
      <x:c r="C75" s="67" t="str">
        <x:f>IF('迁盟总表'!D366="","",'迁盟总表'!D366)</x:f>
        <x:v>燕云</x:v>
      </x:c>
      <x:c r="D75" s="27" t="str">
        <x:f>IF('迁盟总表'!E366="","",'迁盟总表'!E366)</x:f>
        <x:v>留盟</x:v>
      </x:c>
      <x:c r="E75" s="40" t="str">
        <x:f>IF('迁盟总表'!Q366="","",'迁盟总表'!Q366)</x:f>
      </x:c>
      <x:c r="F75" s="40" t="n">
        <x:f>IF('迁盟总表'!R366="","",'迁盟总表'!R366)</x:f>
        <x:v>9060376</x:v>
      </x:c>
      <x:c r="G75" s="40" t="n">
        <x:f>IF('迁盟总表'!S366="","",'迁盟总表'!S366)</x:f>
        <x:v>12434530</x:v>
      </x:c>
      <x:c r="H75" s="37" t="str">
        <x:f>IF('迁盟总表'!H366="","",'迁盟总表'!H366)</x:f>
      </x:c>
      <x:c r="I75" s="37" t="str">
        <x:f>IF('迁盟总表'!I366="","",'迁盟总表'!I366)</x:f>
      </x:c>
      <x:c r="J75" s="40" t="str">
        <x:f>IF('迁盟总表'!J366="","",'迁盟总表'!J366)</x:f>
      </x:c>
      <x:c r="K75" s="40" t="str">
        <x:f>IF('迁盟总表'!K366="","",'迁盟总表'!K366)</x:f>
      </x:c>
      <x:c r="L75" s="40" t="str">
        <x:f>IF('迁盟总表'!L366="","",'迁盟总表'!L366)</x:f>
      </x:c>
      <x:c r="M75" s="40" t="str">
        <x:f>IF('迁盟总表'!M366="","",'迁盟总表'!M366)</x:f>
      </x:c>
      <x:c r="N75" s="40" t="str">
        <x:f>IF('迁盟总表'!N366="","",'迁盟总表'!N366)</x:f>
      </x:c>
      <x:c r="O75" s="40" t="str">
        <x:f>IF('迁盟总表'!O366="","",'迁盟总表'!O366)</x:f>
      </x:c>
      <x:c r="P75" s="40" t="str">
        <x:f>IF('迁盟总表'!P366="","",'迁盟总表'!P366)</x:f>
      </x:c>
      <x:c r="Q75" s="43" t="n">
        <x:f>IF('迁盟总表'!X366="","",'迁盟总表'!X366)</x:f>
        <x:v>3</x:v>
      </x:c>
      <x:c r="R75" s="27" t="n">
        <x:f>IF('迁盟总表'!Y366="","",'迁盟总表'!Y366)</x:f>
        <x:v>362</x:v>
      </x:c>
      <x:c r="S75" s="55" t="str">
        <x:f>IF('迁盟总表'!Z366="","",'迁盟总表'!Z366)</x:f>
        <x:v>保持当前盟，减少迁移成本</x:v>
      </x:c>
    </x:row>
    <x:row r="76" ht="20" customHeight="1">
      <x:c r="A76" s="26" t="str">
        <x:f>IF('迁盟总表'!B367="","",'迁盟总表'!B367)</x:f>
        <x:v>海鸣威</x:v>
      </x:c>
      <x:c r="B76" s="27" t="str">
        <x:f>IF('迁盟总表'!C367="","",'迁盟总表'!C367)</x:f>
        <x:v>燕云</x:v>
      </x:c>
      <x:c r="C76" s="67" t="str">
        <x:f>IF('迁盟总表'!D367="","",'迁盟总表'!D367)</x:f>
        <x:v>燕云</x:v>
      </x:c>
      <x:c r="D76" s="27" t="str">
        <x:f>IF('迁盟总表'!E367="","",'迁盟总表'!E367)</x:f>
        <x:v>留盟</x:v>
      </x:c>
      <x:c r="E76" s="40" t="str">
        <x:f>IF('迁盟总表'!Q367="","",'迁盟总表'!Q367)</x:f>
      </x:c>
      <x:c r="F76" s="40" t="n">
        <x:f>IF('迁盟总表'!R367="","",'迁盟总表'!R367)</x:f>
        <x:v>8867518</x:v>
      </x:c>
      <x:c r="G76" s="40" t="n">
        <x:f>IF('迁盟总表'!S367="","",'迁盟总表'!S367)</x:f>
        <x:v>11144308</x:v>
      </x:c>
      <x:c r="H76" s="37" t="str">
        <x:f>IF('迁盟总表'!H367="","",'迁盟总表'!H367)</x:f>
      </x:c>
      <x:c r="I76" s="37" t="str">
        <x:f>IF('迁盟总表'!I367="","",'迁盟总表'!I367)</x:f>
      </x:c>
      <x:c r="J76" s="40" t="str">
        <x:f>IF('迁盟总表'!J367="","",'迁盟总表'!J367)</x:f>
      </x:c>
      <x:c r="K76" s="40" t="str">
        <x:f>IF('迁盟总表'!K367="","",'迁盟总表'!K367)</x:f>
      </x:c>
      <x:c r="L76" s="40" t="str">
        <x:f>IF('迁盟总表'!L367="","",'迁盟总表'!L367)</x:f>
      </x:c>
      <x:c r="M76" s="40" t="str">
        <x:f>IF('迁盟总表'!M367="","",'迁盟总表'!M367)</x:f>
      </x:c>
      <x:c r="N76" s="40" t="str">
        <x:f>IF('迁盟总表'!N367="","",'迁盟总表'!N367)</x:f>
      </x:c>
      <x:c r="O76" s="40" t="str">
        <x:f>IF('迁盟总表'!O367="","",'迁盟总表'!O367)</x:f>
      </x:c>
      <x:c r="P76" s="40" t="str">
        <x:f>IF('迁盟总表'!P367="","",'迁盟总表'!P367)</x:f>
      </x:c>
      <x:c r="Q76" s="43" t="n">
        <x:f>IF('迁盟总表'!X367="","",'迁盟总表'!X367)</x:f>
        <x:v>2.9</x:v>
      </x:c>
      <x:c r="R76" s="27" t="n">
        <x:f>IF('迁盟总表'!Y367="","",'迁盟总表'!Y367)</x:f>
        <x:v>363</x:v>
      </x:c>
      <x:c r="S76" s="55" t="str">
        <x:f>IF('迁盟总表'!Z367="","",'迁盟总表'!Z367)</x:f>
        <x:v>保持当前盟，减少迁移成本</x:v>
      </x:c>
    </x:row>
    <x:row r="77" ht="20" customHeight="1">
      <x:c r="A77" s="26" t="str">
        <x:f>IF('迁盟总表'!B368="","",'迁盟总表'!B368)</x:f>
        <x:v>哎呦喂丶那个谁</x:v>
      </x:c>
      <x:c r="B77" s="27" t="str">
        <x:f>IF('迁盟总表'!C368="","",'迁盟总表'!C368)</x:f>
        <x:v>燕云</x:v>
      </x:c>
      <x:c r="C77" s="67" t="str">
        <x:f>IF('迁盟总表'!D368="","",'迁盟总表'!D368)</x:f>
        <x:v>燕云</x:v>
      </x:c>
      <x:c r="D77" s="27" t="str">
        <x:f>IF('迁盟总表'!E368="","",'迁盟总表'!E368)</x:f>
        <x:v>留盟</x:v>
      </x:c>
      <x:c r="E77" s="40" t="str">
        <x:f>IF('迁盟总表'!Q368="","",'迁盟总表'!Q368)</x:f>
      </x:c>
      <x:c r="F77" s="40" t="n">
        <x:f>IF('迁盟总表'!R368="","",'迁盟总表'!R368)</x:f>
        <x:v>8168457</x:v>
      </x:c>
      <x:c r="G77" s="40" t="n">
        <x:f>IF('迁盟总表'!S368="","",'迁盟总表'!S368)</x:f>
        <x:v>8525545</x:v>
      </x:c>
      <x:c r="H77" s="37" t="str">
        <x:f>IF('迁盟总表'!H368="","",'迁盟总表'!H368)</x:f>
      </x:c>
      <x:c r="I77" s="37" t="str">
        <x:f>IF('迁盟总表'!I368="","",'迁盟总表'!I368)</x:f>
      </x:c>
      <x:c r="J77" s="40" t="str">
        <x:f>IF('迁盟总表'!J368="","",'迁盟总表'!J368)</x:f>
      </x:c>
      <x:c r="K77" s="40" t="str">
        <x:f>IF('迁盟总表'!K368="","",'迁盟总表'!K368)</x:f>
      </x:c>
      <x:c r="L77" s="40" t="str">
        <x:f>IF('迁盟总表'!L368="","",'迁盟总表'!L368)</x:f>
      </x:c>
      <x:c r="M77" s="40" t="str">
        <x:f>IF('迁盟总表'!M368="","",'迁盟总表'!M368)</x:f>
      </x:c>
      <x:c r="N77" s="40" t="str">
        <x:f>IF('迁盟总表'!N368="","",'迁盟总表'!N368)</x:f>
      </x:c>
      <x:c r="O77" s="40" t="str">
        <x:f>IF('迁盟总表'!O368="","",'迁盟总表'!O368)</x:f>
      </x:c>
      <x:c r="P77" s="40" t="str">
        <x:f>IF('迁盟总表'!P368="","",'迁盟总表'!P368)</x:f>
      </x:c>
      <x:c r="Q77" s="43" t="n">
        <x:f>IF('迁盟总表'!X368="","",'迁盟总表'!X368)</x:f>
        <x:v>2.6</x:v>
      </x:c>
      <x:c r="R77" s="27" t="n">
        <x:f>IF('迁盟总表'!Y368="","",'迁盟总表'!Y368)</x:f>
        <x:v>364</x:v>
      </x:c>
      <x:c r="S77" s="55" t="str">
        <x:f>IF('迁盟总表'!Z368="","",'迁盟总表'!Z368)</x:f>
        <x:v>保持当前盟，减少迁移成本</x:v>
      </x:c>
    </x:row>
    <x:row r="78" ht="20" customHeight="1">
      <x:c r="A78" s="26" t="str">
        <x:f>IF('迁盟总表'!B369="","",'迁盟总表'!B369)</x:f>
        <x:v>星露谷</x:v>
      </x:c>
      <x:c r="B78" s="27" t="str">
        <x:f>IF('迁盟总表'!C369="","",'迁盟总表'!C369)</x:f>
        <x:v>燕云</x:v>
      </x:c>
      <x:c r="C78" s="67" t="str">
        <x:f>IF('迁盟总表'!D369="","",'迁盟总表'!D369)</x:f>
        <x:v>燕云</x:v>
      </x:c>
      <x:c r="D78" s="27" t="str">
        <x:f>IF('迁盟总表'!E369="","",'迁盟总表'!E369)</x:f>
        <x:v>留盟</x:v>
      </x:c>
      <x:c r="E78" s="40" t="str">
        <x:f>IF('迁盟总表'!Q369="","",'迁盟总表'!Q369)</x:f>
      </x:c>
      <x:c r="F78" s="40" t="n">
        <x:f>IF('迁盟总表'!R369="","",'迁盟总表'!R369)</x:f>
        <x:v>8036145</x:v>
      </x:c>
      <x:c r="G78" s="40" t="n">
        <x:f>IF('迁盟总表'!S369="","",'迁盟总表'!S369)</x:f>
        <x:v>9430846</x:v>
      </x:c>
      <x:c r="H78" s="37" t="str">
        <x:f>IF('迁盟总表'!H369="","",'迁盟总表'!H369)</x:f>
      </x:c>
      <x:c r="I78" s="37" t="str">
        <x:f>IF('迁盟总表'!I369="","",'迁盟总表'!I369)</x:f>
      </x:c>
      <x:c r="J78" s="40" t="str">
        <x:f>IF('迁盟总表'!J369="","",'迁盟总表'!J369)</x:f>
      </x:c>
      <x:c r="K78" s="40" t="str">
        <x:f>IF('迁盟总表'!K369="","",'迁盟总表'!K369)</x:f>
      </x:c>
      <x:c r="L78" s="40" t="str">
        <x:f>IF('迁盟总表'!L369="","",'迁盟总表'!L369)</x:f>
      </x:c>
      <x:c r="M78" s="40" t="str">
        <x:f>IF('迁盟总表'!M369="","",'迁盟总表'!M369)</x:f>
      </x:c>
      <x:c r="N78" s="40" t="str">
        <x:f>IF('迁盟总表'!N369="","",'迁盟总表'!N369)</x:f>
      </x:c>
      <x:c r="O78" s="40" t="str">
        <x:f>IF('迁盟总表'!O369="","",'迁盟总表'!O369)</x:f>
      </x:c>
      <x:c r="P78" s="40" t="str">
        <x:f>IF('迁盟总表'!P369="","",'迁盟总表'!P369)</x:f>
      </x:c>
      <x:c r="Q78" s="43" t="n">
        <x:f>IF('迁盟总表'!X369="","",'迁盟总表'!X369)</x:f>
        <x:v>2.6</x:v>
      </x:c>
      <x:c r="R78" s="27" t="n">
        <x:f>IF('迁盟总表'!Y369="","",'迁盟总表'!Y369)</x:f>
        <x:v>364</x:v>
      </x:c>
      <x:c r="S78" s="55" t="str">
        <x:f>IF('迁盟总表'!Z369="","",'迁盟总表'!Z369)</x:f>
        <x:v>保持当前盟，减少迁移成本</x:v>
      </x:c>
    </x:row>
    <x:row r="79" ht="20" customHeight="1">
      <x:c r="A79" s="26" t="str">
        <x:f>IF('迁盟总表'!B370="","",'迁盟总表'!B370)</x:f>
        <x:v>令狐老爷车</x:v>
      </x:c>
      <x:c r="B79" s="27" t="str">
        <x:f>IF('迁盟总表'!C370="","",'迁盟总表'!C370)</x:f>
        <x:v>燕云</x:v>
      </x:c>
      <x:c r="C79" s="67" t="str">
        <x:f>IF('迁盟总表'!D370="","",'迁盟总表'!D370)</x:f>
        <x:v>燕云</x:v>
      </x:c>
      <x:c r="D79" s="27" t="str">
        <x:f>IF('迁盟总表'!E370="","",'迁盟总表'!E370)</x:f>
        <x:v>留盟</x:v>
      </x:c>
      <x:c r="E79" s="40" t="str">
        <x:f>IF('迁盟总表'!Q370="","",'迁盟总表'!Q370)</x:f>
      </x:c>
      <x:c r="F79" s="40" t="n">
        <x:f>IF('迁盟总表'!R370="","",'迁盟总表'!R370)</x:f>
        <x:v>6877808</x:v>
      </x:c>
      <x:c r="G79" s="40" t="n">
        <x:f>IF('迁盟总表'!S370="","",'迁盟总表'!S370)</x:f>
        <x:v>7108598</x:v>
      </x:c>
      <x:c r="H79" s="37" t="str">
        <x:f>IF('迁盟总表'!H370="","",'迁盟总表'!H370)</x:f>
      </x:c>
      <x:c r="I79" s="37" t="str">
        <x:f>IF('迁盟总表'!I370="","",'迁盟总表'!I370)</x:f>
      </x:c>
      <x:c r="J79" s="40" t="str">
        <x:f>IF('迁盟总表'!J370="","",'迁盟总表'!J370)</x:f>
      </x:c>
      <x:c r="K79" s="40" t="str">
        <x:f>IF('迁盟总表'!K370="","",'迁盟总表'!K370)</x:f>
      </x:c>
      <x:c r="L79" s="40" t="str">
        <x:f>IF('迁盟总表'!L370="","",'迁盟总表'!L370)</x:f>
      </x:c>
      <x:c r="M79" s="40" t="str">
        <x:f>IF('迁盟总表'!M370="","",'迁盟总表'!M370)</x:f>
      </x:c>
      <x:c r="N79" s="40" t="str">
        <x:f>IF('迁盟总表'!N370="","",'迁盟总表'!N370)</x:f>
      </x:c>
      <x:c r="O79" s="40" t="str">
        <x:f>IF('迁盟总表'!O370="","",'迁盟总表'!O370)</x:f>
      </x:c>
      <x:c r="P79" s="40" t="str">
        <x:f>IF('迁盟总表'!P370="","",'迁盟总表'!P370)</x:f>
      </x:c>
      <x:c r="Q79" s="43" t="n">
        <x:f>IF('迁盟总表'!X370="","",'迁盟总表'!X370)</x:f>
        <x:v>2.2</x:v>
      </x:c>
      <x:c r="R79" s="27" t="n">
        <x:f>IF('迁盟总表'!Y370="","",'迁盟总表'!Y370)</x:f>
        <x:v>366</x:v>
      </x:c>
      <x:c r="S79" s="55" t="str">
        <x:f>IF('迁盟总表'!Z370="","",'迁盟总表'!Z370)</x:f>
        <x:v>保持当前盟，减少迁移成本</x:v>
      </x:c>
    </x:row>
    <x:row r="80" ht="20" customHeight="1">
      <x:c r="A80" s="26" t="str">
        <x:f>IF('迁盟总表'!B371="","",'迁盟总表'!B371)</x:f>
        <x:v>曹刘孙</x:v>
      </x:c>
      <x:c r="B80" s="27" t="str">
        <x:f>IF('迁盟总表'!C371="","",'迁盟总表'!C371)</x:f>
        <x:v>燕云</x:v>
      </x:c>
      <x:c r="C80" s="67" t="str">
        <x:f>IF('迁盟总表'!D371="","",'迁盟总表'!D371)</x:f>
        <x:v>燕云</x:v>
      </x:c>
      <x:c r="D80" s="27" t="str">
        <x:f>IF('迁盟总表'!E371="","",'迁盟总表'!E371)</x:f>
        <x:v>留盟</x:v>
      </x:c>
      <x:c r="E80" s="40" t="str">
        <x:f>IF('迁盟总表'!Q371="","",'迁盟总表'!Q371)</x:f>
      </x:c>
      <x:c r="F80" s="40" t="n">
        <x:f>IF('迁盟总表'!R371="","",'迁盟总表'!R371)</x:f>
        <x:v>5326207</x:v>
      </x:c>
      <x:c r="G80" s="40" t="n">
        <x:f>IF('迁盟总表'!S371="","",'迁盟总表'!S371)</x:f>
        <x:v>5841434</x:v>
      </x:c>
      <x:c r="H80" s="37" t="str">
        <x:f>IF('迁盟总表'!H371="","",'迁盟总表'!H371)</x:f>
      </x:c>
      <x:c r="I80" s="37" t="str">
        <x:f>IF('迁盟总表'!I371="","",'迁盟总表'!I371)</x:f>
      </x:c>
      <x:c r="J80" s="40" t="str">
        <x:f>IF('迁盟总表'!J371="","",'迁盟总表'!J371)</x:f>
      </x:c>
      <x:c r="K80" s="40" t="str">
        <x:f>IF('迁盟总表'!K371="","",'迁盟总表'!K371)</x:f>
      </x:c>
      <x:c r="L80" s="40" t="str">
        <x:f>IF('迁盟总表'!L371="","",'迁盟总表'!L371)</x:f>
      </x:c>
      <x:c r="M80" s="40" t="str">
        <x:f>IF('迁盟总表'!M371="","",'迁盟总表'!M371)</x:f>
      </x:c>
      <x:c r="N80" s="40" t="str">
        <x:f>IF('迁盟总表'!N371="","",'迁盟总表'!N371)</x:f>
      </x:c>
      <x:c r="O80" s="40" t="str">
        <x:f>IF('迁盟总表'!O371="","",'迁盟总表'!O371)</x:f>
      </x:c>
      <x:c r="P80" s="40" t="str">
        <x:f>IF('迁盟总表'!P371="","",'迁盟总表'!P371)</x:f>
      </x:c>
      <x:c r="Q80" s="43" t="n">
        <x:f>IF('迁盟总表'!X371="","",'迁盟总表'!X371)</x:f>
        <x:v>1.7</x:v>
      </x:c>
      <x:c r="R80" s="27" t="n">
        <x:f>IF('迁盟总表'!Y371="","",'迁盟总表'!Y371)</x:f>
        <x:v>367</x:v>
      </x:c>
      <x:c r="S80" s="55" t="str">
        <x:f>IF('迁盟总表'!Z371="","",'迁盟总表'!Z371)</x:f>
        <x:v>保持当前盟，减少迁移成本</x:v>
      </x:c>
    </x:row>
    <x:row r="81" ht="20" customHeight="1">
      <x:c r="A81" s="26" t="str">
        <x:f>IF('迁盟总表'!B372="","",'迁盟总表'!B372)</x:f>
        <x:v>主公973155905003</x:v>
      </x:c>
      <x:c r="B81" s="27" t="str">
        <x:f>IF('迁盟总表'!C372="","",'迁盟总表'!C372)</x:f>
        <x:v>燕云</x:v>
      </x:c>
      <x:c r="C81" s="67" t="str">
        <x:f>IF('迁盟总表'!D372="","",'迁盟总表'!D372)</x:f>
        <x:v>燕云</x:v>
      </x:c>
      <x:c r="D81" s="27" t="str">
        <x:f>IF('迁盟总表'!E372="","",'迁盟总表'!E372)</x:f>
        <x:v>留盟</x:v>
      </x:c>
      <x:c r="E81" s="40" t="str">
        <x:f>IF('迁盟总表'!Q372="","",'迁盟总表'!Q372)</x:f>
      </x:c>
      <x:c r="F81" s="40" t="n">
        <x:f>IF('迁盟总表'!R372="","",'迁盟总表'!R372)</x:f>
        <x:v>5360860</x:v>
      </x:c>
      <x:c r="G81" s="40" t="n">
        <x:f>IF('迁盟总表'!S372="","",'迁盟总表'!S372)</x:f>
        <x:v>5489442</x:v>
      </x:c>
      <x:c r="H81" s="37" t="str">
        <x:f>IF('迁盟总表'!H372="","",'迁盟总表'!H372)</x:f>
      </x:c>
      <x:c r="I81" s="37" t="str">
        <x:f>IF('迁盟总表'!I372="","",'迁盟总表'!I372)</x:f>
      </x:c>
      <x:c r="J81" s="40" t="str">
        <x:f>IF('迁盟总表'!J372="","",'迁盟总表'!J372)</x:f>
      </x:c>
      <x:c r="K81" s="40" t="str">
        <x:f>IF('迁盟总表'!K372="","",'迁盟总表'!K372)</x:f>
      </x:c>
      <x:c r="L81" s="40" t="str">
        <x:f>IF('迁盟总表'!L372="","",'迁盟总表'!L372)</x:f>
      </x:c>
      <x:c r="M81" s="40" t="str">
        <x:f>IF('迁盟总表'!M372="","",'迁盟总表'!M372)</x:f>
      </x:c>
      <x:c r="N81" s="40" t="str">
        <x:f>IF('迁盟总表'!N372="","",'迁盟总表'!N372)</x:f>
      </x:c>
      <x:c r="O81" s="40" t="str">
        <x:f>IF('迁盟总表'!O372="","",'迁盟总表'!O372)</x:f>
      </x:c>
      <x:c r="P81" s="40" t="str">
        <x:f>IF('迁盟总表'!P372="","",'迁盟总表'!P372)</x:f>
      </x:c>
      <x:c r="Q81" s="43" t="n">
        <x:f>IF('迁盟总表'!X372="","",'迁盟总表'!X372)</x:f>
        <x:v>1.7</x:v>
      </x:c>
      <x:c r="R81" s="27" t="n">
        <x:f>IF('迁盟总表'!Y372="","",'迁盟总表'!Y372)</x:f>
        <x:v>367</x:v>
      </x:c>
      <x:c r="S81" s="55" t="str">
        <x:f>IF('迁盟总表'!Z372="","",'迁盟总表'!Z372)</x:f>
        <x:v>保持当前盟，减少迁移成本</x:v>
      </x:c>
    </x:row>
    <x:row r="82" ht="20" customHeight="1">
      <x:c r="A82" s="26" t="str">
        <x:f>IF('迁盟总表'!B373="","",'迁盟总表'!B373)</x:f>
        <x:v>一生有你</x:v>
      </x:c>
      <x:c r="B82" s="27" t="str">
        <x:f>IF('迁盟总表'!C373="","",'迁盟总表'!C373)</x:f>
        <x:v>燕云</x:v>
      </x:c>
      <x:c r="C82" s="67" t="str">
        <x:f>IF('迁盟总表'!D373="","",'迁盟总表'!D373)</x:f>
        <x:v>燕云</x:v>
      </x:c>
      <x:c r="D82" s="27" t="str">
        <x:f>IF('迁盟总表'!E373="","",'迁盟总表'!E373)</x:f>
        <x:v>留盟</x:v>
      </x:c>
      <x:c r="E82" s="40" t="str">
        <x:f>IF('迁盟总表'!Q373="","",'迁盟总表'!Q373)</x:f>
      </x:c>
      <x:c r="F82" s="40" t="n">
        <x:f>IF('迁盟总表'!R373="","",'迁盟总表'!R373)</x:f>
        <x:v>4734811</x:v>
      </x:c>
      <x:c r="G82" s="40" t="n">
        <x:f>IF('迁盟总表'!S373="","",'迁盟总表'!S373)</x:f>
        <x:v>5263016</x:v>
      </x:c>
      <x:c r="H82" s="37" t="str">
        <x:f>IF('迁盟总表'!H373="","",'迁盟总表'!H373)</x:f>
      </x:c>
      <x:c r="I82" s="37" t="str">
        <x:f>IF('迁盟总表'!I373="","",'迁盟总表'!I373)</x:f>
      </x:c>
      <x:c r="J82" s="40" t="str">
        <x:f>IF('迁盟总表'!J373="","",'迁盟总表'!J373)</x:f>
      </x:c>
      <x:c r="K82" s="40" t="str">
        <x:f>IF('迁盟总表'!K373="","",'迁盟总表'!K373)</x:f>
      </x:c>
      <x:c r="L82" s="40" t="str">
        <x:f>IF('迁盟总表'!L373="","",'迁盟总表'!L373)</x:f>
      </x:c>
      <x:c r="M82" s="40" t="str">
        <x:f>IF('迁盟总表'!M373="","",'迁盟总表'!M373)</x:f>
      </x:c>
      <x:c r="N82" s="40" t="str">
        <x:f>IF('迁盟总表'!N373="","",'迁盟总表'!N373)</x:f>
      </x:c>
      <x:c r="O82" s="40" t="str">
        <x:f>IF('迁盟总表'!O373="","",'迁盟总表'!O373)</x:f>
      </x:c>
      <x:c r="P82" s="40" t="str">
        <x:f>IF('迁盟总表'!P373="","",'迁盟总表'!P373)</x:f>
      </x:c>
      <x:c r="Q82" s="43" t="n">
        <x:f>IF('迁盟总表'!X373="","",'迁盟总表'!X373)</x:f>
        <x:v>1.5</x:v>
      </x:c>
      <x:c r="R82" s="27" t="n">
        <x:f>IF('迁盟总表'!Y373="","",'迁盟总表'!Y373)</x:f>
        <x:v>369</x:v>
      </x:c>
      <x:c r="S82" s="55" t="str">
        <x:f>IF('迁盟总表'!Z373="","",'迁盟总表'!Z373)</x:f>
        <x:v>保持当前盟，减少迁移成本</x:v>
      </x:c>
    </x:row>
    <x:row r="83" ht="20" customHeight="1">
      <x:c r="A83" s="26" t="str">
        <x:f>IF('迁盟总表'!B374="","",'迁盟总表'!B374)</x:f>
        <x:v>六位帝皇玩</x:v>
      </x:c>
      <x:c r="B83" s="27" t="str">
        <x:f>IF('迁盟总表'!C374="","",'迁盟总表'!C374)</x:f>
        <x:v>燕云</x:v>
      </x:c>
      <x:c r="C83" s="67" t="str">
        <x:f>IF('迁盟总表'!D374="","",'迁盟总表'!D374)</x:f>
        <x:v>燕云</x:v>
      </x:c>
      <x:c r="D83" s="27" t="str">
        <x:f>IF('迁盟总表'!E374="","",'迁盟总表'!E374)</x:f>
        <x:v>留盟</x:v>
      </x:c>
      <x:c r="E83" s="40" t="str">
        <x:f>IF('迁盟总表'!Q374="","",'迁盟总表'!Q374)</x:f>
      </x:c>
      <x:c r="F83" s="40" t="n">
        <x:f>IF('迁盟总表'!R374="","",'迁盟总表'!R374)</x:f>
        <x:v>4330197</x:v>
      </x:c>
      <x:c r="G83" s="40" t="n">
        <x:f>IF('迁盟总表'!S374="","",'迁盟总表'!S374)</x:f>
        <x:v>4613786</x:v>
      </x:c>
      <x:c r="H83" s="37" t="str">
        <x:f>IF('迁盟总表'!H374="","",'迁盟总表'!H374)</x:f>
      </x:c>
      <x:c r="I83" s="37" t="str">
        <x:f>IF('迁盟总表'!I374="","",'迁盟总表'!I374)</x:f>
      </x:c>
      <x:c r="J83" s="40" t="str">
        <x:f>IF('迁盟总表'!J374="","",'迁盟总表'!J374)</x:f>
      </x:c>
      <x:c r="K83" s="40" t="str">
        <x:f>IF('迁盟总表'!K374="","",'迁盟总表'!K374)</x:f>
      </x:c>
      <x:c r="L83" s="40" t="str">
        <x:f>IF('迁盟总表'!L374="","",'迁盟总表'!L374)</x:f>
      </x:c>
      <x:c r="M83" s="40" t="str">
        <x:f>IF('迁盟总表'!M374="","",'迁盟总表'!M374)</x:f>
      </x:c>
      <x:c r="N83" s="40" t="str">
        <x:f>IF('迁盟总表'!N374="","",'迁盟总表'!N374)</x:f>
      </x:c>
      <x:c r="O83" s="40" t="str">
        <x:f>IF('迁盟总表'!O374="","",'迁盟总表'!O374)</x:f>
      </x:c>
      <x:c r="P83" s="40" t="str">
        <x:f>IF('迁盟总表'!P374="","",'迁盟总表'!P374)</x:f>
      </x:c>
      <x:c r="Q83" s="43" t="n">
        <x:f>IF('迁盟总表'!X374="","",'迁盟总表'!X374)</x:f>
        <x:v>1.4</x:v>
      </x:c>
      <x:c r="R83" s="27" t="n">
        <x:f>IF('迁盟总表'!Y374="","",'迁盟总表'!Y374)</x:f>
        <x:v>370</x:v>
      </x:c>
      <x:c r="S83" s="55" t="str">
        <x:f>IF('迁盟总表'!Z374="","",'迁盟总表'!Z374)</x:f>
        <x:v>保持当前盟，减少迁移成本</x:v>
      </x:c>
    </x:row>
    <x:row r="84" ht="20" customHeight="1">
      <x:c r="A84" s="26" t="str">
        <x:f>IF('迁盟总表'!B375="","",'迁盟总表'!B375)</x:f>
        <x:v>嫩达那蛋</x:v>
      </x:c>
      <x:c r="B84" s="27" t="str">
        <x:f>IF('迁盟总表'!C375="","",'迁盟总表'!C375)</x:f>
        <x:v>燕云</x:v>
      </x:c>
      <x:c r="C84" s="67" t="str">
        <x:f>IF('迁盟总表'!D375="","",'迁盟总表'!D375)</x:f>
        <x:v>燕云</x:v>
      </x:c>
      <x:c r="D84" s="27" t="str">
        <x:f>IF('迁盟总表'!E375="","",'迁盟总表'!E375)</x:f>
        <x:v>留盟</x:v>
      </x:c>
      <x:c r="E84" s="40" t="str">
        <x:f>IF('迁盟总表'!Q375="","",'迁盟总表'!Q375)</x:f>
      </x:c>
      <x:c r="F84" s="40" t="n">
        <x:f>IF('迁盟总表'!R375="","",'迁盟总表'!R375)</x:f>
        <x:v>3971608</x:v>
      </x:c>
      <x:c r="G84" s="40" t="n">
        <x:f>IF('迁盟总表'!S375="","",'迁盟总表'!S375)</x:f>
        <x:v>4810450</x:v>
      </x:c>
      <x:c r="H84" s="37" t="str">
        <x:f>IF('迁盟总表'!H375="","",'迁盟总表'!H375)</x:f>
      </x:c>
      <x:c r="I84" s="37" t="str">
        <x:f>IF('迁盟总表'!I375="","",'迁盟总表'!I375)</x:f>
      </x:c>
      <x:c r="J84" s="40" t="str">
        <x:f>IF('迁盟总表'!J375="","",'迁盟总表'!J375)</x:f>
      </x:c>
      <x:c r="K84" s="40" t="str">
        <x:f>IF('迁盟总表'!K375="","",'迁盟总表'!K375)</x:f>
      </x:c>
      <x:c r="L84" s="40" t="str">
        <x:f>IF('迁盟总表'!L375="","",'迁盟总表'!L375)</x:f>
      </x:c>
      <x:c r="M84" s="40" t="str">
        <x:f>IF('迁盟总表'!M375="","",'迁盟总表'!M375)</x:f>
      </x:c>
      <x:c r="N84" s="40" t="str">
        <x:f>IF('迁盟总表'!N375="","",'迁盟总表'!N375)</x:f>
      </x:c>
      <x:c r="O84" s="40" t="str">
        <x:f>IF('迁盟总表'!O375="","",'迁盟总表'!O375)</x:f>
      </x:c>
      <x:c r="P84" s="40" t="str">
        <x:f>IF('迁盟总表'!P375="","",'迁盟总表'!P375)</x:f>
      </x:c>
      <x:c r="Q84" s="43" t="n">
        <x:f>IF('迁盟总表'!X375="","",'迁盟总表'!X375)</x:f>
        <x:v>1.3</x:v>
      </x:c>
      <x:c r="R84" s="27" t="n">
        <x:f>IF('迁盟总表'!Y375="","",'迁盟总表'!Y375)</x:f>
        <x:v>371</x:v>
      </x:c>
      <x:c r="S84" s="55" t="str">
        <x:f>IF('迁盟总表'!Z375="","",'迁盟总表'!Z375)</x:f>
        <x:v>保持当前盟，减少迁移成本</x:v>
      </x:c>
    </x:row>
    <x:row r="85" ht="20" customHeight="1">
      <x:c r="A85" s="26" t="str">
        <x:f>IF('迁盟总表'!B376="","",'迁盟总表'!B376)</x:f>
        <x:v>黑瓜豆</x:v>
      </x:c>
      <x:c r="B85" s="27" t="str">
        <x:f>IF('迁盟总表'!C376="","",'迁盟总表'!C376)</x:f>
        <x:v>燕云</x:v>
      </x:c>
      <x:c r="C85" s="67" t="str">
        <x:f>IF('迁盟总表'!D376="","",'迁盟总表'!D376)</x:f>
        <x:v>燕云</x:v>
      </x:c>
      <x:c r="D85" s="27" t="str">
        <x:f>IF('迁盟总表'!E376="","",'迁盟总表'!E376)</x:f>
        <x:v>留盟</x:v>
      </x:c>
      <x:c r="E85" s="40" t="str">
        <x:f>IF('迁盟总表'!Q376="","",'迁盟总表'!Q376)</x:f>
      </x:c>
      <x:c r="F85" s="40" t="n">
        <x:f>IF('迁盟总表'!R376="","",'迁盟总表'!R376)</x:f>
        <x:v>3999440</x:v>
      </x:c>
      <x:c r="G85" s="40" t="n">
        <x:f>IF('迁盟总表'!S376="","",'迁盟总表'!S376)</x:f>
        <x:v>4105178</x:v>
      </x:c>
      <x:c r="H85" s="37" t="str">
        <x:f>IF('迁盟总表'!H376="","",'迁盟总表'!H376)</x:f>
      </x:c>
      <x:c r="I85" s="37" t="str">
        <x:f>IF('迁盟总表'!I376="","",'迁盟总表'!I376)</x:f>
      </x:c>
      <x:c r="J85" s="40" t="str">
        <x:f>IF('迁盟总表'!J376="","",'迁盟总表'!J376)</x:f>
      </x:c>
      <x:c r="K85" s="40" t="str">
        <x:f>IF('迁盟总表'!K376="","",'迁盟总表'!K376)</x:f>
      </x:c>
      <x:c r="L85" s="40" t="str">
        <x:f>IF('迁盟总表'!L376="","",'迁盟总表'!L376)</x:f>
      </x:c>
      <x:c r="M85" s="40" t="str">
        <x:f>IF('迁盟总表'!M376="","",'迁盟总表'!M376)</x:f>
      </x:c>
      <x:c r="N85" s="40" t="str">
        <x:f>IF('迁盟总表'!N376="","",'迁盟总表'!N376)</x:f>
      </x:c>
      <x:c r="O85" s="40" t="str">
        <x:f>IF('迁盟总表'!O376="","",'迁盟总表'!O376)</x:f>
      </x:c>
      <x:c r="P85" s="40" t="str">
        <x:f>IF('迁盟总表'!P376="","",'迁盟总表'!P376)</x:f>
      </x:c>
      <x:c r="Q85" s="43" t="n">
        <x:f>IF('迁盟总表'!X376="","",'迁盟总表'!X376)</x:f>
        <x:v>1.3</x:v>
      </x:c>
      <x:c r="R85" s="27" t="n">
        <x:f>IF('迁盟总表'!Y376="","",'迁盟总表'!Y376)</x:f>
        <x:v>371</x:v>
      </x:c>
      <x:c r="S85" s="55" t="str">
        <x:f>IF('迁盟总表'!Z376="","",'迁盟总表'!Z376)</x:f>
        <x:v>保持当前盟，减少迁移成本</x:v>
      </x:c>
    </x:row>
    <x:row r="86" ht="20" customHeight="1">
      <x:c r="A86" s="26" t="str">
        <x:f>IF('迁盟总表'!B377="","",'迁盟总表'!B377)</x:f>
        <x:v>失去的过往</x:v>
      </x:c>
      <x:c r="B86" s="27" t="str">
        <x:f>IF('迁盟总表'!C377="","",'迁盟总表'!C377)</x:f>
        <x:v>燕云</x:v>
      </x:c>
      <x:c r="C86" s="67" t="str">
        <x:f>IF('迁盟总表'!D377="","",'迁盟总表'!D377)</x:f>
        <x:v>燕云</x:v>
      </x:c>
      <x:c r="D86" s="27" t="str">
        <x:f>IF('迁盟总表'!E377="","",'迁盟总表'!E377)</x:f>
        <x:v>留盟</x:v>
      </x:c>
      <x:c r="E86" s="40" t="str">
        <x:f>IF('迁盟总表'!Q377="","",'迁盟总表'!Q377)</x:f>
      </x:c>
      <x:c r="F86" s="40" t="n">
        <x:f>IF('迁盟总表'!R377="","",'迁盟总表'!R377)</x:f>
        <x:v>3918414</x:v>
      </x:c>
      <x:c r="G86" s="40" t="n">
        <x:f>IF('迁盟总表'!S377="","",'迁盟总表'!S377)</x:f>
        <x:v>4119945</x:v>
      </x:c>
      <x:c r="H86" s="37" t="str">
        <x:f>IF('迁盟总表'!H377="","",'迁盟总表'!H377)</x:f>
      </x:c>
      <x:c r="I86" s="37" t="str">
        <x:f>IF('迁盟总表'!I377="","",'迁盟总表'!I377)</x:f>
      </x:c>
      <x:c r="J86" s="40" t="str">
        <x:f>IF('迁盟总表'!J377="","",'迁盟总表'!J377)</x:f>
      </x:c>
      <x:c r="K86" s="40" t="str">
        <x:f>IF('迁盟总表'!K377="","",'迁盟总表'!K377)</x:f>
      </x:c>
      <x:c r="L86" s="40" t="str">
        <x:f>IF('迁盟总表'!L377="","",'迁盟总表'!L377)</x:f>
      </x:c>
      <x:c r="M86" s="40" t="str">
        <x:f>IF('迁盟总表'!M377="","",'迁盟总表'!M377)</x:f>
      </x:c>
      <x:c r="N86" s="40" t="str">
        <x:f>IF('迁盟总表'!N377="","",'迁盟总表'!N377)</x:f>
      </x:c>
      <x:c r="O86" s="40" t="str">
        <x:f>IF('迁盟总表'!O377="","",'迁盟总表'!O377)</x:f>
      </x:c>
      <x:c r="P86" s="40" t="str">
        <x:f>IF('迁盟总表'!P377="","",'迁盟总表'!P377)</x:f>
      </x:c>
      <x:c r="Q86" s="43" t="n">
        <x:f>IF('迁盟总表'!X377="","",'迁盟总表'!X377)</x:f>
        <x:v>1.3</x:v>
      </x:c>
      <x:c r="R86" s="27" t="n">
        <x:f>IF('迁盟总表'!Y377="","",'迁盟总表'!Y377)</x:f>
        <x:v>371</x:v>
      </x:c>
      <x:c r="S86" s="55" t="str">
        <x:f>IF('迁盟总表'!Z377="","",'迁盟总表'!Z377)</x:f>
        <x:v>保持当前盟，减少迁移成本</x:v>
      </x:c>
    </x:row>
    <x:row r="87" ht="20" customHeight="1">
      <x:c r="A87" s="26" t="str">
        <x:f>IF('迁盟总表'!B378="","",'迁盟总表'!B378)</x:f>
        <x:v>骑貂蝉战吕布</x:v>
      </x:c>
      <x:c r="B87" s="27" t="str">
        <x:f>IF('迁盟总表'!C378="","",'迁盟总表'!C378)</x:f>
        <x:v>燕云</x:v>
      </x:c>
      <x:c r="C87" s="67" t="str">
        <x:f>IF('迁盟总表'!D378="","",'迁盟总表'!D378)</x:f>
        <x:v>燕云</x:v>
      </x:c>
      <x:c r="D87" s="27" t="str">
        <x:f>IF('迁盟总表'!E378="","",'迁盟总表'!E378)</x:f>
        <x:v>留盟</x:v>
      </x:c>
      <x:c r="E87" s="40" t="str">
        <x:f>IF('迁盟总表'!Q378="","",'迁盟总表'!Q378)</x:f>
      </x:c>
      <x:c r="F87" s="40" t="n">
        <x:f>IF('迁盟总表'!R378="","",'迁盟总表'!R378)</x:f>
        <x:v>3931964</x:v>
      </x:c>
      <x:c r="G87" s="40" t="n">
        <x:f>IF('迁盟总表'!S378="","",'迁盟总表'!S378)</x:f>
        <x:v>3944893</x:v>
      </x:c>
      <x:c r="H87" s="37" t="str">
        <x:f>IF('迁盟总表'!H378="","",'迁盟总表'!H378)</x:f>
      </x:c>
      <x:c r="I87" s="37" t="str">
        <x:f>IF('迁盟总表'!I378="","",'迁盟总表'!I378)</x:f>
      </x:c>
      <x:c r="J87" s="40" t="str">
        <x:f>IF('迁盟总表'!J378="","",'迁盟总表'!J378)</x:f>
      </x:c>
      <x:c r="K87" s="40" t="str">
        <x:f>IF('迁盟总表'!K378="","",'迁盟总表'!K378)</x:f>
      </x:c>
      <x:c r="L87" s="40" t="str">
        <x:f>IF('迁盟总表'!L378="","",'迁盟总表'!L378)</x:f>
      </x:c>
      <x:c r="M87" s="40" t="str">
        <x:f>IF('迁盟总表'!M378="","",'迁盟总表'!M378)</x:f>
      </x:c>
      <x:c r="N87" s="40" t="str">
        <x:f>IF('迁盟总表'!N378="","",'迁盟总表'!N378)</x:f>
      </x:c>
      <x:c r="O87" s="40" t="str">
        <x:f>IF('迁盟总表'!O378="","",'迁盟总表'!O378)</x:f>
      </x:c>
      <x:c r="P87" s="40" t="str">
        <x:f>IF('迁盟总表'!P378="","",'迁盟总表'!P378)</x:f>
      </x:c>
      <x:c r="Q87" s="43" t="n">
        <x:f>IF('迁盟总表'!X378="","",'迁盟总表'!X378)</x:f>
        <x:v>1.3</x:v>
      </x:c>
      <x:c r="R87" s="27" t="n">
        <x:f>IF('迁盟总表'!Y378="","",'迁盟总表'!Y378)</x:f>
        <x:v>371</x:v>
      </x:c>
      <x:c r="S87" s="55" t="str">
        <x:f>IF('迁盟总表'!Z378="","",'迁盟总表'!Z378)</x:f>
        <x:v>保持当前盟，减少迁移成本</x:v>
      </x:c>
    </x:row>
    <x:row r="88" ht="20" customHeight="1">
      <x:c r="A88" s="26" t="str">
        <x:f>IF('迁盟总表'!B379="","",'迁盟总表'!B379)</x:f>
        <x:v>主公973155934443</x:v>
      </x:c>
      <x:c r="B88" s="27" t="str">
        <x:f>IF('迁盟总表'!C379="","",'迁盟总表'!C379)</x:f>
        <x:v>燕云</x:v>
      </x:c>
      <x:c r="C88" s="67" t="str">
        <x:f>IF('迁盟总表'!D379="","",'迁盟总表'!D379)</x:f>
        <x:v>燕云</x:v>
      </x:c>
      <x:c r="D88" s="27" t="str">
        <x:f>IF('迁盟总表'!E379="","",'迁盟总表'!E379)</x:f>
        <x:v>留盟</x:v>
      </x:c>
      <x:c r="E88" s="40" t="str">
        <x:f>IF('迁盟总表'!Q379="","",'迁盟总表'!Q379)</x:f>
      </x:c>
      <x:c r="F88" s="40" t="n">
        <x:f>IF('迁盟总表'!R379="","",'迁盟总表'!R379)</x:f>
        <x:v>2886862</x:v>
      </x:c>
      <x:c r="G88" s="40" t="n">
        <x:f>IF('迁盟总表'!S379="","",'迁盟总表'!S379)</x:f>
        <x:v>2895611</x:v>
      </x:c>
      <x:c r="H88" s="37" t="str">
        <x:f>IF('迁盟总表'!H379="","",'迁盟总表'!H379)</x:f>
      </x:c>
      <x:c r="I88" s="37" t="str">
        <x:f>IF('迁盟总表'!I379="","",'迁盟总表'!I379)</x:f>
      </x:c>
      <x:c r="J88" s="40" t="str">
        <x:f>IF('迁盟总表'!J379="","",'迁盟总表'!J379)</x:f>
      </x:c>
      <x:c r="K88" s="40" t="str">
        <x:f>IF('迁盟总表'!K379="","",'迁盟总表'!K379)</x:f>
      </x:c>
      <x:c r="L88" s="40" t="str">
        <x:f>IF('迁盟总表'!L379="","",'迁盟总表'!L379)</x:f>
      </x:c>
      <x:c r="M88" s="40" t="str">
        <x:f>IF('迁盟总表'!M379="","",'迁盟总表'!M379)</x:f>
      </x:c>
      <x:c r="N88" s="40" t="str">
        <x:f>IF('迁盟总表'!N379="","",'迁盟总表'!N379)</x:f>
      </x:c>
      <x:c r="O88" s="40" t="str">
        <x:f>IF('迁盟总表'!O379="","",'迁盟总表'!O379)</x:f>
      </x:c>
      <x:c r="P88" s="40" t="str">
        <x:f>IF('迁盟总表'!P379="","",'迁盟总表'!P379)</x:f>
      </x:c>
      <x:c r="Q88" s="43" t="n">
        <x:f>IF('迁盟总表'!X379="","",'迁盟总表'!X379)</x:f>
        <x:v>0.9</x:v>
      </x:c>
      <x:c r="R88" s="27" t="n">
        <x:f>IF('迁盟总表'!Y379="","",'迁盟总表'!Y379)</x:f>
        <x:v>375</x:v>
      </x:c>
      <x:c r="S88" s="55" t="str">
        <x:f>IF('迁盟总表'!Z379="","",'迁盟总表'!Z379)</x:f>
        <x:v>保持当前盟，减少迁移成本</x:v>
      </x:c>
    </x:row>
    <x:row r="89" ht="20" customHeight="1">
      <x:c r="A89" s="26" t="str">
        <x:f>IF('迁盟总表'!B380="","",'迁盟总表'!B380)</x:f>
        <x:v>菠萝小号</x:v>
      </x:c>
      <x:c r="B89" s="27" t="str">
        <x:f>IF('迁盟总表'!C380="","",'迁盟总表'!C380)</x:f>
        <x:v>燕云</x:v>
      </x:c>
      <x:c r="C89" s="67" t="str">
        <x:f>IF('迁盟总表'!D380="","",'迁盟总表'!D380)</x:f>
        <x:v>燕云</x:v>
      </x:c>
      <x:c r="D89" s="27" t="str">
        <x:f>IF('迁盟总表'!E380="","",'迁盟总表'!E380)</x:f>
        <x:v>留盟</x:v>
      </x:c>
      <x:c r="E89" s="40" t="str">
        <x:f>IF('迁盟总表'!Q380="","",'迁盟总表'!Q380)</x:f>
      </x:c>
      <x:c r="F89" s="40" t="n">
        <x:f>IF('迁盟总表'!R380="","",'迁盟总表'!R380)</x:f>
        <x:v>2582594</x:v>
      </x:c>
      <x:c r="G89" s="40" t="n">
        <x:f>IF('迁盟总表'!S380="","",'迁盟总表'!S380)</x:f>
        <x:v>3081842</x:v>
      </x:c>
      <x:c r="H89" s="37" t="str">
        <x:f>IF('迁盟总表'!H380="","",'迁盟总表'!H380)</x:f>
      </x:c>
      <x:c r="I89" s="37" t="str">
        <x:f>IF('迁盟总表'!I380="","",'迁盟总表'!I380)</x:f>
      </x:c>
      <x:c r="J89" s="40" t="str">
        <x:f>IF('迁盟总表'!J380="","",'迁盟总表'!J380)</x:f>
      </x:c>
      <x:c r="K89" s="40" t="str">
        <x:f>IF('迁盟总表'!K380="","",'迁盟总表'!K380)</x:f>
      </x:c>
      <x:c r="L89" s="40" t="str">
        <x:f>IF('迁盟总表'!L380="","",'迁盟总表'!L380)</x:f>
      </x:c>
      <x:c r="M89" s="40" t="str">
        <x:f>IF('迁盟总表'!M380="","",'迁盟总表'!M380)</x:f>
      </x:c>
      <x:c r="N89" s="40" t="str">
        <x:f>IF('迁盟总表'!N380="","",'迁盟总表'!N380)</x:f>
      </x:c>
      <x:c r="O89" s="40" t="str">
        <x:f>IF('迁盟总表'!O380="","",'迁盟总表'!O380)</x:f>
      </x:c>
      <x:c r="P89" s="40" t="str">
        <x:f>IF('迁盟总表'!P380="","",'迁盟总表'!P380)</x:f>
      </x:c>
      <x:c r="Q89" s="43" t="n">
        <x:f>IF('迁盟总表'!X380="","",'迁盟总表'!X380)</x:f>
        <x:v>0.8</x:v>
      </x:c>
      <x:c r="R89" s="27" t="n">
        <x:f>IF('迁盟总表'!Y380="","",'迁盟总表'!Y380)</x:f>
        <x:v>376</x:v>
      </x:c>
      <x:c r="S89" s="55" t="str">
        <x:f>IF('迁盟总表'!Z380="","",'迁盟总表'!Z380)</x:f>
        <x:v>保持当前盟，减少迁移成本</x:v>
      </x:c>
    </x:row>
    <x:row r="90" ht="20" customHeight="1">
      <x:c r="A90" s="26" t="str">
        <x:f>IF('迁盟总表'!B381="","",'迁盟总表'!B381)</x:f>
        <x:v>小曦汐</x:v>
      </x:c>
      <x:c r="B90" s="27" t="str">
        <x:f>IF('迁盟总表'!C381="","",'迁盟总表'!C381)</x:f>
        <x:v>燕云</x:v>
      </x:c>
      <x:c r="C90" s="67" t="str">
        <x:f>IF('迁盟总表'!D381="","",'迁盟总表'!D381)</x:f>
        <x:v>燕云</x:v>
      </x:c>
      <x:c r="D90" s="27" t="str">
        <x:f>IF('迁盟总表'!E381="","",'迁盟总表'!E381)</x:f>
        <x:v>留盟</x:v>
      </x:c>
      <x:c r="E90" s="40" t="str">
        <x:f>IF('迁盟总表'!Q381="","",'迁盟总表'!Q381)</x:f>
      </x:c>
      <x:c r="F90" s="40" t="n">
        <x:f>IF('迁盟总表'!R381="","",'迁盟总表'!R381)</x:f>
        <x:v>2497863</x:v>
      </x:c>
      <x:c r="G90" s="40" t="n">
        <x:f>IF('迁盟总表'!S381="","",'迁盟总表'!S381)</x:f>
        <x:v>2617855</x:v>
      </x:c>
      <x:c r="H90" s="37" t="str">
        <x:f>IF('迁盟总表'!H381="","",'迁盟总表'!H381)</x:f>
      </x:c>
      <x:c r="I90" s="37" t="str">
        <x:f>IF('迁盟总表'!I381="","",'迁盟总表'!I381)</x:f>
      </x:c>
      <x:c r="J90" s="40" t="str">
        <x:f>IF('迁盟总表'!J381="","",'迁盟总表'!J381)</x:f>
      </x:c>
      <x:c r="K90" s="40" t="str">
        <x:f>IF('迁盟总表'!K381="","",'迁盟总表'!K381)</x:f>
      </x:c>
      <x:c r="L90" s="40" t="str">
        <x:f>IF('迁盟总表'!L381="","",'迁盟总表'!L381)</x:f>
      </x:c>
      <x:c r="M90" s="40" t="str">
        <x:f>IF('迁盟总表'!M381="","",'迁盟总表'!M381)</x:f>
      </x:c>
      <x:c r="N90" s="40" t="str">
        <x:f>IF('迁盟总表'!N381="","",'迁盟总表'!N381)</x:f>
      </x:c>
      <x:c r="O90" s="40" t="str">
        <x:f>IF('迁盟总表'!O381="","",'迁盟总表'!O381)</x:f>
      </x:c>
      <x:c r="P90" s="40" t="str">
        <x:f>IF('迁盟总表'!P381="","",'迁盟总表'!P381)</x:f>
      </x:c>
      <x:c r="Q90" s="43" t="n">
        <x:f>IF('迁盟总表'!X381="","",'迁盟总表'!X381)</x:f>
        <x:v>0.8</x:v>
      </x:c>
      <x:c r="R90" s="27" t="n">
        <x:f>IF('迁盟总表'!Y381="","",'迁盟总表'!Y381)</x:f>
        <x:v>376</x:v>
      </x:c>
      <x:c r="S90" s="55" t="str">
        <x:f>IF('迁盟总表'!Z381="","",'迁盟总表'!Z381)</x:f>
        <x:v>保持当前盟，减少迁移成本</x:v>
      </x:c>
    </x:row>
    <x:row r="91" ht="20" customHeight="1">
      <x:c r="A91" s="26" t="str">
        <x:f>IF('迁盟总表'!B382="","",'迁盟总表'!B382)</x:f>
        <x:v>随风三国</x:v>
      </x:c>
      <x:c r="B91" s="27" t="str">
        <x:f>IF('迁盟总表'!C382="","",'迁盟总表'!C382)</x:f>
        <x:v>燕云</x:v>
      </x:c>
      <x:c r="C91" s="67" t="str">
        <x:f>IF('迁盟总表'!D382="","",'迁盟总表'!D382)</x:f>
        <x:v>燕云</x:v>
      </x:c>
      <x:c r="D91" s="27" t="str">
        <x:f>IF('迁盟总表'!E382="","",'迁盟总表'!E382)</x:f>
        <x:v>留盟</x:v>
      </x:c>
      <x:c r="E91" s="40" t="str">
        <x:f>IF('迁盟总表'!Q382="","",'迁盟总表'!Q382)</x:f>
      </x:c>
      <x:c r="F91" s="40" t="n">
        <x:f>IF('迁盟总表'!R382="","",'迁盟总表'!R382)</x:f>
        <x:v>2166845</x:v>
      </x:c>
      <x:c r="G91" s="40" t="n">
        <x:f>IF('迁盟总表'!S382="","",'迁盟总表'!S382)</x:f>
        <x:v>2219139</x:v>
      </x:c>
      <x:c r="H91" s="37" t="str">
        <x:f>IF('迁盟总表'!H382="","",'迁盟总表'!H382)</x:f>
      </x:c>
      <x:c r="I91" s="37" t="str">
        <x:f>IF('迁盟总表'!I382="","",'迁盟总表'!I382)</x:f>
      </x:c>
      <x:c r="J91" s="40" t="str">
        <x:f>IF('迁盟总表'!J382="","",'迁盟总表'!J382)</x:f>
      </x:c>
      <x:c r="K91" s="40" t="str">
        <x:f>IF('迁盟总表'!K382="","",'迁盟总表'!K382)</x:f>
      </x:c>
      <x:c r="L91" s="40" t="str">
        <x:f>IF('迁盟总表'!L382="","",'迁盟总表'!L382)</x:f>
      </x:c>
      <x:c r="M91" s="40" t="str">
        <x:f>IF('迁盟总表'!M382="","",'迁盟总表'!M382)</x:f>
      </x:c>
      <x:c r="N91" s="40" t="str">
        <x:f>IF('迁盟总表'!N382="","",'迁盟总表'!N382)</x:f>
      </x:c>
      <x:c r="O91" s="40" t="str">
        <x:f>IF('迁盟总表'!O382="","",'迁盟总表'!O382)</x:f>
      </x:c>
      <x:c r="P91" s="40" t="str">
        <x:f>IF('迁盟总表'!P382="","",'迁盟总表'!P382)</x:f>
      </x:c>
      <x:c r="Q91" s="43" t="n">
        <x:f>IF('迁盟总表'!X382="","",'迁盟总表'!X382)</x:f>
        <x:v>0.7</x:v>
      </x:c>
      <x:c r="R91" s="27" t="n">
        <x:f>IF('迁盟总表'!Y382="","",'迁盟总表'!Y382)</x:f>
        <x:v>378</x:v>
      </x:c>
      <x:c r="S91" s="55" t="str">
        <x:f>IF('迁盟总表'!Z382="","",'迁盟总表'!Z382)</x:f>
        <x:v>保持当前盟，减少迁移成本</x:v>
      </x:c>
    </x:row>
    <x:row r="92" ht="20" customHeight="1">
      <x:c r="A92" s="26" t="str">
        <x:f>IF('迁盟总表'!B383="","",'迁盟总表'!B383)</x:f>
        <x:v>名999</x:v>
      </x:c>
      <x:c r="B92" s="27" t="str">
        <x:f>IF('迁盟总表'!C383="","",'迁盟总表'!C383)</x:f>
        <x:v>燕云</x:v>
      </x:c>
      <x:c r="C92" s="67" t="str">
        <x:f>IF('迁盟总表'!D383="","",'迁盟总表'!D383)</x:f>
        <x:v>燕云</x:v>
      </x:c>
      <x:c r="D92" s="27" t="str">
        <x:f>IF('迁盟总表'!E383="","",'迁盟总表'!E383)</x:f>
        <x:v>留盟</x:v>
      </x:c>
      <x:c r="E92" s="40" t="str">
        <x:f>IF('迁盟总表'!Q383="","",'迁盟总表'!Q383)</x:f>
      </x:c>
      <x:c r="F92" s="40" t="n">
        <x:f>IF('迁盟总表'!R383="","",'迁盟总表'!R383)</x:f>
        <x:v>1603504</x:v>
      </x:c>
      <x:c r="G92" s="40" t="n">
        <x:f>IF('迁盟总表'!S383="","",'迁盟总表'!S383)</x:f>
        <x:v>1715084</x:v>
      </x:c>
      <x:c r="H92" s="37" t="str">
        <x:f>IF('迁盟总表'!H383="","",'迁盟总表'!H383)</x:f>
      </x:c>
      <x:c r="I92" s="37" t="str">
        <x:f>IF('迁盟总表'!I383="","",'迁盟总表'!I383)</x:f>
      </x:c>
      <x:c r="J92" s="40" t="str">
        <x:f>IF('迁盟总表'!J383="","",'迁盟总表'!J383)</x:f>
      </x:c>
      <x:c r="K92" s="40" t="str">
        <x:f>IF('迁盟总表'!K383="","",'迁盟总表'!K383)</x:f>
      </x:c>
      <x:c r="L92" s="40" t="str">
        <x:f>IF('迁盟总表'!L383="","",'迁盟总表'!L383)</x:f>
      </x:c>
      <x:c r="M92" s="40" t="str">
        <x:f>IF('迁盟总表'!M383="","",'迁盟总表'!M383)</x:f>
      </x:c>
      <x:c r="N92" s="40" t="str">
        <x:f>IF('迁盟总表'!N383="","",'迁盟总表'!N383)</x:f>
      </x:c>
      <x:c r="O92" s="40" t="str">
        <x:f>IF('迁盟总表'!O383="","",'迁盟总表'!O383)</x:f>
      </x:c>
      <x:c r="P92" s="40" t="str">
        <x:f>IF('迁盟总表'!P383="","",'迁盟总表'!P383)</x:f>
      </x:c>
      <x:c r="Q92" s="43" t="n">
        <x:f>IF('迁盟总表'!X383="","",'迁盟总表'!X383)</x:f>
        <x:v>0.5</x:v>
      </x:c>
      <x:c r="R92" s="27" t="n">
        <x:f>IF('迁盟总表'!Y383="","",'迁盟总表'!Y383)</x:f>
        <x:v>379</x:v>
      </x:c>
      <x:c r="S92" s="55" t="str">
        <x:f>IF('迁盟总表'!Z383="","",'迁盟总表'!Z383)</x:f>
        <x:v>保持当前盟，减少迁移成本</x:v>
      </x:c>
    </x:row>
    <x:row r="93" ht="20" customHeight="1">
      <x:c r="A93" s="26" t="str">
        <x:f>IF('迁盟总表'!B384="","",'迁盟总表'!B384)</x:f>
        <x:v>帝心之神</x:v>
      </x:c>
      <x:c r="B93" s="27" t="str">
        <x:f>IF('迁盟总表'!C384="","",'迁盟总表'!C384)</x:f>
        <x:v>燕云</x:v>
      </x:c>
      <x:c r="C93" s="67" t="str">
        <x:f>IF('迁盟总表'!D384="","",'迁盟总表'!D384)</x:f>
        <x:v>燕云</x:v>
      </x:c>
      <x:c r="D93" s="27" t="str">
        <x:f>IF('迁盟总表'!E384="","",'迁盟总表'!E384)</x:f>
        <x:v>留盟</x:v>
      </x:c>
      <x:c r="E93" s="40" t="str">
        <x:f>IF('迁盟总表'!Q384="","",'迁盟总表'!Q384)</x:f>
      </x:c>
      <x:c r="F93" s="40" t="n">
        <x:f>IF('迁盟总表'!R384="","",'迁盟总表'!R384)</x:f>
        <x:v>1609300</x:v>
      </x:c>
      <x:c r="G93" s="40" t="n">
        <x:f>IF('迁盟总表'!S384="","",'迁盟总表'!S384)</x:f>
        <x:v>1614670</x:v>
      </x:c>
      <x:c r="H93" s="37" t="str">
        <x:f>IF('迁盟总表'!H384="","",'迁盟总表'!H384)</x:f>
      </x:c>
      <x:c r="I93" s="37" t="str">
        <x:f>IF('迁盟总表'!I384="","",'迁盟总表'!I384)</x:f>
      </x:c>
      <x:c r="J93" s="40" t="str">
        <x:f>IF('迁盟总表'!J384="","",'迁盟总表'!J384)</x:f>
      </x:c>
      <x:c r="K93" s="40" t="str">
        <x:f>IF('迁盟总表'!K384="","",'迁盟总表'!K384)</x:f>
      </x:c>
      <x:c r="L93" s="40" t="str">
        <x:f>IF('迁盟总表'!L384="","",'迁盟总表'!L384)</x:f>
      </x:c>
      <x:c r="M93" s="40" t="str">
        <x:f>IF('迁盟总表'!M384="","",'迁盟总表'!M384)</x:f>
      </x:c>
      <x:c r="N93" s="40" t="str">
        <x:f>IF('迁盟总表'!N384="","",'迁盟总表'!N384)</x:f>
      </x:c>
      <x:c r="O93" s="40" t="str">
        <x:f>IF('迁盟总表'!O384="","",'迁盟总表'!O384)</x:f>
      </x:c>
      <x:c r="P93" s="40" t="str">
        <x:f>IF('迁盟总表'!P384="","",'迁盟总表'!P384)</x:f>
      </x:c>
      <x:c r="Q93" s="43" t="n">
        <x:f>IF('迁盟总表'!X384="","",'迁盟总表'!X384)</x:f>
        <x:v>0.5</x:v>
      </x:c>
      <x:c r="R93" s="27" t="n">
        <x:f>IF('迁盟总表'!Y384="","",'迁盟总表'!Y384)</x:f>
        <x:v>379</x:v>
      </x:c>
      <x:c r="S93" s="55" t="str">
        <x:f>IF('迁盟总表'!Z384="","",'迁盟总表'!Z384)</x:f>
        <x:v>保持当前盟，减少迁移成本</x:v>
      </x:c>
    </x:row>
    <x:row r="94" ht="20" customHeight="1">
      <x:c r="A94" s="26" t="str">
        <x:f>IF('迁盟总表'!B385="","",'迁盟总表'!B385)</x:f>
        <x:v>西圣地在</x:v>
      </x:c>
      <x:c r="B94" s="27" t="str">
        <x:f>IF('迁盟总表'!C385="","",'迁盟总表'!C385)</x:f>
        <x:v>燕云</x:v>
      </x:c>
      <x:c r="C94" s="67" t="str">
        <x:f>IF('迁盟总表'!D385="","",'迁盟总表'!D385)</x:f>
        <x:v>燕云</x:v>
      </x:c>
      <x:c r="D94" s="27" t="str">
        <x:f>IF('迁盟总表'!E385="","",'迁盟总表'!E385)</x:f>
        <x:v>留盟</x:v>
      </x:c>
      <x:c r="E94" s="40" t="str">
        <x:f>IF('迁盟总表'!Q385="","",'迁盟总表'!Q385)</x:f>
      </x:c>
      <x:c r="F94" s="40" t="n">
        <x:f>IF('迁盟总表'!R385="","",'迁盟总表'!R385)</x:f>
        <x:v>1437328</x:v>
      </x:c>
      <x:c r="G94" s="40" t="n">
        <x:f>IF('迁盟总表'!S385="","",'迁盟总表'!S385)</x:f>
        <x:v>1437334</x:v>
      </x:c>
      <x:c r="H94" s="37" t="str">
        <x:f>IF('迁盟总表'!H385="","",'迁盟总表'!H385)</x:f>
      </x:c>
      <x:c r="I94" s="37" t="str">
        <x:f>IF('迁盟总表'!I385="","",'迁盟总表'!I385)</x:f>
      </x:c>
      <x:c r="J94" s="40" t="str">
        <x:f>IF('迁盟总表'!J385="","",'迁盟总表'!J385)</x:f>
      </x:c>
      <x:c r="K94" s="40" t="str">
        <x:f>IF('迁盟总表'!K385="","",'迁盟总表'!K385)</x:f>
      </x:c>
      <x:c r="L94" s="40" t="str">
        <x:f>IF('迁盟总表'!L385="","",'迁盟总表'!L385)</x:f>
      </x:c>
      <x:c r="M94" s="40" t="str">
        <x:f>IF('迁盟总表'!M385="","",'迁盟总表'!M385)</x:f>
      </x:c>
      <x:c r="N94" s="40" t="str">
        <x:f>IF('迁盟总表'!N385="","",'迁盟总表'!N385)</x:f>
      </x:c>
      <x:c r="O94" s="40" t="str">
        <x:f>IF('迁盟总表'!O385="","",'迁盟总表'!O385)</x:f>
      </x:c>
      <x:c r="P94" s="40" t="str">
        <x:f>IF('迁盟总表'!P385="","",'迁盟总表'!P385)</x:f>
      </x:c>
      <x:c r="Q94" s="43" t="n">
        <x:f>IF('迁盟总表'!X385="","",'迁盟总表'!X385)</x:f>
        <x:v>0.5</x:v>
      </x:c>
      <x:c r="R94" s="27" t="n">
        <x:f>IF('迁盟总表'!Y385="","",'迁盟总表'!Y385)</x:f>
        <x:v>379</x:v>
      </x:c>
      <x:c r="S94" s="55" t="str">
        <x:f>IF('迁盟总表'!Z385="","",'迁盟总表'!Z385)</x:f>
        <x:v>保持当前盟，减少迁移成本</x:v>
      </x:c>
    </x:row>
    <x:row r="95" ht="20" customHeight="1">
      <x:c r="A95" s="26" t="str">
        <x:f>IF('迁盟总表'!B386="","",'迁盟总表'!B386)</x:f>
        <x:v>猫猫钓鱼</x:v>
      </x:c>
      <x:c r="B95" s="27" t="str">
        <x:f>IF('迁盟总表'!C386="","",'迁盟总表'!C386)</x:f>
        <x:v>燕云</x:v>
      </x:c>
      <x:c r="C95" s="67" t="str">
        <x:f>IF('迁盟总表'!D386="","",'迁盟总表'!D386)</x:f>
        <x:v>燕云</x:v>
      </x:c>
      <x:c r="D95" s="27" t="str">
        <x:f>IF('迁盟总表'!E386="","",'迁盟总表'!E386)</x:f>
        <x:v>留盟</x:v>
      </x:c>
      <x:c r="E95" s="40" t="str">
        <x:f>IF('迁盟总表'!Q386="","",'迁盟总表'!Q386)</x:f>
      </x:c>
      <x:c r="F95" s="40" t="n">
        <x:f>IF('迁盟总表'!R386="","",'迁盟总表'!R386)</x:f>
        <x:v>1323645</x:v>
      </x:c>
      <x:c r="G95" s="40" t="n">
        <x:f>IF('迁盟总表'!S386="","",'迁盟总表'!S386)</x:f>
        <x:v>1437296</x:v>
      </x:c>
      <x:c r="H95" s="37" t="str">
        <x:f>IF('迁盟总表'!H386="","",'迁盟总表'!H386)</x:f>
      </x:c>
      <x:c r="I95" s="37" t="str">
        <x:f>IF('迁盟总表'!I386="","",'迁盟总表'!I386)</x:f>
      </x:c>
      <x:c r="J95" s="40" t="str">
        <x:f>IF('迁盟总表'!J386="","",'迁盟总表'!J386)</x:f>
      </x:c>
      <x:c r="K95" s="40" t="str">
        <x:f>IF('迁盟总表'!K386="","",'迁盟总表'!K386)</x:f>
      </x:c>
      <x:c r="L95" s="40" t="str">
        <x:f>IF('迁盟总表'!L386="","",'迁盟总表'!L386)</x:f>
      </x:c>
      <x:c r="M95" s="40" t="str">
        <x:f>IF('迁盟总表'!M386="","",'迁盟总表'!M386)</x:f>
      </x:c>
      <x:c r="N95" s="40" t="str">
        <x:f>IF('迁盟总表'!N386="","",'迁盟总表'!N386)</x:f>
      </x:c>
      <x:c r="O95" s="40" t="str">
        <x:f>IF('迁盟总表'!O386="","",'迁盟总表'!O386)</x:f>
      </x:c>
      <x:c r="P95" s="40" t="str">
        <x:f>IF('迁盟总表'!P386="","",'迁盟总表'!P386)</x:f>
      </x:c>
      <x:c r="Q95" s="43" t="n">
        <x:f>IF('迁盟总表'!X386="","",'迁盟总表'!X386)</x:f>
        <x:v>0.4</x:v>
      </x:c>
      <x:c r="R95" s="27" t="n">
        <x:f>IF('迁盟总表'!Y386="","",'迁盟总表'!Y386)</x:f>
        <x:v>382</x:v>
      </x:c>
      <x:c r="S95" s="55" t="str">
        <x:f>IF('迁盟总表'!Z386="","",'迁盟总表'!Z386)</x:f>
        <x:v>保持当前盟，减少迁移成本</x:v>
      </x:c>
    </x:row>
    <x:row r="96" ht="20" customHeight="1">
      <x:c r="A96" s="26" t="str">
        <x:f>IF('迁盟总表'!B387="","",'迁盟总表'!B387)</x:f>
        <x:v>小心白眼郎</x:v>
      </x:c>
      <x:c r="B96" s="27" t="str">
        <x:f>IF('迁盟总表'!C387="","",'迁盟总表'!C387)</x:f>
        <x:v>燕云</x:v>
      </x:c>
      <x:c r="C96" s="67" t="str">
        <x:f>IF('迁盟总表'!D387="","",'迁盟总表'!D387)</x:f>
        <x:v>燕云</x:v>
      </x:c>
      <x:c r="D96" s="27" t="str">
        <x:f>IF('迁盟总表'!E387="","",'迁盟总表'!E387)</x:f>
        <x:v>留盟</x:v>
      </x:c>
      <x:c r="E96" s="40" t="str">
        <x:f>IF('迁盟总表'!Q387="","",'迁盟总表'!Q387)</x:f>
      </x:c>
      <x:c r="F96" s="40" t="n">
        <x:f>IF('迁盟总表'!R387="","",'迁盟总表'!R387)</x:f>
        <x:v>1302659</x:v>
      </x:c>
      <x:c r="G96" s="40" t="n">
        <x:f>IF('迁盟总表'!S387="","",'迁盟总表'!S387)</x:f>
        <x:v>1334951</x:v>
      </x:c>
      <x:c r="H96" s="37" t="str">
        <x:f>IF('迁盟总表'!H387="","",'迁盟总表'!H387)</x:f>
      </x:c>
      <x:c r="I96" s="37" t="str">
        <x:f>IF('迁盟总表'!I387="","",'迁盟总表'!I387)</x:f>
      </x:c>
      <x:c r="J96" s="40" t="str">
        <x:f>IF('迁盟总表'!J387="","",'迁盟总表'!J387)</x:f>
      </x:c>
      <x:c r="K96" s="40" t="str">
        <x:f>IF('迁盟总表'!K387="","",'迁盟总表'!K387)</x:f>
      </x:c>
      <x:c r="L96" s="40" t="str">
        <x:f>IF('迁盟总表'!L387="","",'迁盟总表'!L387)</x:f>
      </x:c>
      <x:c r="M96" s="40" t="str">
        <x:f>IF('迁盟总表'!M387="","",'迁盟总表'!M387)</x:f>
      </x:c>
      <x:c r="N96" s="40" t="str">
        <x:f>IF('迁盟总表'!N387="","",'迁盟总表'!N387)</x:f>
      </x:c>
      <x:c r="O96" s="40" t="str">
        <x:f>IF('迁盟总表'!O387="","",'迁盟总表'!O387)</x:f>
      </x:c>
      <x:c r="P96" s="40" t="str">
        <x:f>IF('迁盟总表'!P387="","",'迁盟总表'!P387)</x:f>
      </x:c>
      <x:c r="Q96" s="43" t="n">
        <x:f>IF('迁盟总表'!X387="","",'迁盟总表'!X387)</x:f>
        <x:v>0.4</x:v>
      </x:c>
      <x:c r="R96" s="27" t="n">
        <x:f>IF('迁盟总表'!Y387="","",'迁盟总表'!Y387)</x:f>
        <x:v>382</x:v>
      </x:c>
      <x:c r="S96" s="55" t="str">
        <x:f>IF('迁盟总表'!Z387="","",'迁盟总表'!Z387)</x:f>
        <x:v>保持当前盟，减少迁移成本</x:v>
      </x:c>
    </x:row>
    <x:row r="97" ht="20" customHeight="1">
      <x:c r="A97" s="26" t="str">
        <x:f>IF('迁盟总表'!B388="","",'迁盟总表'!B388)</x:f>
        <x:v>主公9324155908257</x:v>
      </x:c>
      <x:c r="B97" s="27" t="str">
        <x:f>IF('迁盟总表'!C388="","",'迁盟总表'!C388)</x:f>
        <x:v>燕云</x:v>
      </x:c>
      <x:c r="C97" s="67" t="str">
        <x:f>IF('迁盟总表'!D388="","",'迁盟总表'!D388)</x:f>
        <x:v>燕云</x:v>
      </x:c>
      <x:c r="D97" s="27" t="str">
        <x:f>IF('迁盟总表'!E388="","",'迁盟总表'!E388)</x:f>
        <x:v>留盟</x:v>
      </x:c>
      <x:c r="E97" s="40" t="str">
        <x:f>IF('迁盟总表'!Q388="","",'迁盟总表'!Q388)</x:f>
      </x:c>
      <x:c r="F97" s="40" t="n">
        <x:f>IF('迁盟总表'!R388="","",'迁盟总表'!R388)</x:f>
        <x:v>841932</x:v>
      </x:c>
      <x:c r="G97" s="40" t="n">
        <x:f>IF('迁盟总表'!S388="","",'迁盟总表'!S388)</x:f>
        <x:v>841946</x:v>
      </x:c>
      <x:c r="H97" s="37" t="str">
        <x:f>IF('迁盟总表'!H388="","",'迁盟总表'!H388)</x:f>
      </x:c>
      <x:c r="I97" s="37" t="str">
        <x:f>IF('迁盟总表'!I388="","",'迁盟总表'!I388)</x:f>
      </x:c>
      <x:c r="J97" s="40" t="str">
        <x:f>IF('迁盟总表'!J388="","",'迁盟总表'!J388)</x:f>
      </x:c>
      <x:c r="K97" s="40" t="str">
        <x:f>IF('迁盟总表'!K388="","",'迁盟总表'!K388)</x:f>
      </x:c>
      <x:c r="L97" s="40" t="str">
        <x:f>IF('迁盟总表'!L388="","",'迁盟总表'!L388)</x:f>
      </x:c>
      <x:c r="M97" s="40" t="str">
        <x:f>IF('迁盟总表'!M388="","",'迁盟总表'!M388)</x:f>
      </x:c>
      <x:c r="N97" s="40" t="str">
        <x:f>IF('迁盟总表'!N388="","",'迁盟总表'!N388)</x:f>
      </x:c>
      <x:c r="O97" s="40" t="str">
        <x:f>IF('迁盟总表'!O388="","",'迁盟总表'!O388)</x:f>
      </x:c>
      <x:c r="P97" s="40" t="str">
        <x:f>IF('迁盟总表'!P388="","",'迁盟总表'!P388)</x:f>
      </x:c>
      <x:c r="Q97" s="43" t="n">
        <x:f>IF('迁盟总表'!X388="","",'迁盟总表'!X388)</x:f>
        <x:v>0.3</x:v>
      </x:c>
      <x:c r="R97" s="27" t="n">
        <x:f>IF('迁盟总表'!Y388="","",'迁盟总表'!Y388)</x:f>
        <x:v>384</x:v>
      </x:c>
      <x:c r="S97" s="55" t="str">
        <x:f>IF('迁盟总表'!Z388="","",'迁盟总表'!Z388)</x:f>
        <x:v>保持当前盟，减少迁移成本</x:v>
      </x:c>
    </x:row>
    <x:row r="98" ht="20" customHeight="1">
      <x:c r="A98" s="26" t="str">
        <x:f>IF('迁盟总表'!B389="","",'迁盟总表'!B389)</x:f>
        <x:v>十六的六</x:v>
      </x:c>
      <x:c r="B98" s="27" t="str">
        <x:f>IF('迁盟总表'!C389="","",'迁盟总表'!C389)</x:f>
        <x:v>燕云</x:v>
      </x:c>
      <x:c r="C98" s="67" t="str">
        <x:f>IF('迁盟总表'!D389="","",'迁盟总表'!D389)</x:f>
        <x:v>燕云</x:v>
      </x:c>
      <x:c r="D98" s="27" t="str">
        <x:f>IF('迁盟总表'!E389="","",'迁盟总表'!E389)</x:f>
        <x:v>留盟</x:v>
      </x:c>
      <x:c r="E98" s="40" t="str">
        <x:f>IF('迁盟总表'!Q389="","",'迁盟总表'!Q389)</x:f>
      </x:c>
      <x:c r="F98" s="40" t="n">
        <x:f>IF('迁盟总表'!R389="","",'迁盟总表'!R389)</x:f>
        <x:v>737225</x:v>
      </x:c>
      <x:c r="G98" s="40" t="n">
        <x:f>IF('迁盟总表'!S389="","",'迁盟总表'!S389)</x:f>
        <x:v>737975</x:v>
      </x:c>
      <x:c r="H98" s="37" t="str">
        <x:f>IF('迁盟总表'!H389="","",'迁盟总表'!H389)</x:f>
      </x:c>
      <x:c r="I98" s="37" t="str">
        <x:f>IF('迁盟总表'!I389="","",'迁盟总表'!I389)</x:f>
      </x:c>
      <x:c r="J98" s="40" t="str">
        <x:f>IF('迁盟总表'!J389="","",'迁盟总表'!J389)</x:f>
      </x:c>
      <x:c r="K98" s="40" t="str">
        <x:f>IF('迁盟总表'!K389="","",'迁盟总表'!K389)</x:f>
      </x:c>
      <x:c r="L98" s="40" t="str">
        <x:f>IF('迁盟总表'!L389="","",'迁盟总表'!L389)</x:f>
      </x:c>
      <x:c r="M98" s="40" t="str">
        <x:f>IF('迁盟总表'!M389="","",'迁盟总表'!M389)</x:f>
      </x:c>
      <x:c r="N98" s="40" t="str">
        <x:f>IF('迁盟总表'!N389="","",'迁盟总表'!N389)</x:f>
      </x:c>
      <x:c r="O98" s="40" t="str">
        <x:f>IF('迁盟总表'!O389="","",'迁盟总表'!O389)</x:f>
      </x:c>
      <x:c r="P98" s="40" t="str">
        <x:f>IF('迁盟总表'!P389="","",'迁盟总表'!P389)</x:f>
      </x:c>
      <x:c r="Q98" s="43" t="n">
        <x:f>IF('迁盟总表'!X389="","",'迁盟总表'!X389)</x:f>
        <x:v>0.2</x:v>
      </x:c>
      <x:c r="R98" s="27" t="n">
        <x:f>IF('迁盟总表'!Y389="","",'迁盟总表'!Y389)</x:f>
        <x:v>385</x:v>
      </x:c>
      <x:c r="S98" s="55" t="str">
        <x:f>IF('迁盟总表'!Z389="","",'迁盟总表'!Z389)</x:f>
        <x:v>保持当前盟，减少迁移成本</x:v>
      </x:c>
    </x:row>
    <x:row r="99" ht="20" customHeight="1">
      <x:c r="A99" s="26" t="str">
        <x:f>IF('迁盟总表'!B390="","",'迁盟总表'!B390)</x:f>
        <x:v>睡觉大王</x:v>
      </x:c>
      <x:c r="B99" s="27" t="str">
        <x:f>IF('迁盟总表'!C390="","",'迁盟总表'!C390)</x:f>
        <x:v>燕云</x:v>
      </x:c>
      <x:c r="C99" s="67" t="str">
        <x:f>IF('迁盟总表'!D390="","",'迁盟总表'!D390)</x:f>
        <x:v>燕云</x:v>
      </x:c>
      <x:c r="D99" s="27" t="str">
        <x:f>IF('迁盟总表'!E390="","",'迁盟总表'!E390)</x:f>
        <x:v>留盟</x:v>
      </x:c>
      <x:c r="E99" s="40" t="str">
        <x:f>IF('迁盟总表'!Q390="","",'迁盟总表'!Q390)</x:f>
      </x:c>
      <x:c r="F99" s="40" t="n">
        <x:f>IF('迁盟总表'!R390="","",'迁盟总表'!R390)</x:f>
        <x:v>561778</x:v>
      </x:c>
      <x:c r="G99" s="40" t="n">
        <x:f>IF('迁盟总表'!S390="","",'迁盟总表'!S390)</x:f>
        <x:v>634656</x:v>
      </x:c>
      <x:c r="H99" s="37" t="str">
        <x:f>IF('迁盟总表'!H390="","",'迁盟总表'!H390)</x:f>
      </x:c>
      <x:c r="I99" s="37" t="str">
        <x:f>IF('迁盟总表'!I390="","",'迁盟总表'!I390)</x:f>
      </x:c>
      <x:c r="J99" s="40" t="str">
        <x:f>IF('迁盟总表'!J390="","",'迁盟总表'!J390)</x:f>
      </x:c>
      <x:c r="K99" s="40" t="str">
        <x:f>IF('迁盟总表'!K390="","",'迁盟总表'!K390)</x:f>
      </x:c>
      <x:c r="L99" s="40" t="str">
        <x:f>IF('迁盟总表'!L390="","",'迁盟总表'!L390)</x:f>
      </x:c>
      <x:c r="M99" s="40" t="str">
        <x:f>IF('迁盟总表'!M390="","",'迁盟总表'!M390)</x:f>
      </x:c>
      <x:c r="N99" s="40" t="str">
        <x:f>IF('迁盟总表'!N390="","",'迁盟总表'!N390)</x:f>
      </x:c>
      <x:c r="O99" s="40" t="str">
        <x:f>IF('迁盟总表'!O390="","",'迁盟总表'!O390)</x:f>
      </x:c>
      <x:c r="P99" s="40" t="str">
        <x:f>IF('迁盟总表'!P390="","",'迁盟总表'!P390)</x:f>
      </x:c>
      <x:c r="Q99" s="43" t="n">
        <x:f>IF('迁盟总表'!X390="","",'迁盟总表'!X390)</x:f>
        <x:v>0.2</x:v>
      </x:c>
      <x:c r="R99" s="27" t="n">
        <x:f>IF('迁盟总表'!Y390="","",'迁盟总表'!Y390)</x:f>
        <x:v>385</x:v>
      </x:c>
      <x:c r="S99" s="55" t="str">
        <x:f>IF('迁盟总表'!Z390="","",'迁盟总表'!Z390)</x:f>
        <x:v>保持当前盟，减少迁移成本</x:v>
      </x:c>
    </x:row>
    <x:row r="100" ht="20" customHeight="1">
      <x:c r="A100" s="26" t="str">
        <x:f>IF('迁盟总表'!B391="","",'迁盟总表'!B391)</x:f>
        <x:v>忘尘释然</x:v>
      </x:c>
      <x:c r="B100" s="27" t="str">
        <x:f>IF('迁盟总表'!C391="","",'迁盟总表'!C391)</x:f>
        <x:v>燕云</x:v>
      </x:c>
      <x:c r="C100" s="67" t="str">
        <x:f>IF('迁盟总表'!D391="","",'迁盟总表'!D391)</x:f>
        <x:v>燕云</x:v>
      </x:c>
      <x:c r="D100" s="27" t="str">
        <x:f>IF('迁盟总表'!E391="","",'迁盟总表'!E391)</x:f>
        <x:v>留盟</x:v>
      </x:c>
      <x:c r="E100" s="40" t="str">
        <x:f>IF('迁盟总表'!Q391="","",'迁盟总表'!Q391)</x:f>
      </x:c>
      <x:c r="F100" s="40" t="n">
        <x:f>IF('迁盟总表'!R391="","",'迁盟总表'!R391)</x:f>
        <x:v>552689</x:v>
      </x:c>
      <x:c r="G100" s="40" t="n">
        <x:f>IF('迁盟总表'!S391="","",'迁盟总表'!S391)</x:f>
        <x:v>554157</x:v>
      </x:c>
      <x:c r="H100" s="37" t="str">
        <x:f>IF('迁盟总表'!H391="","",'迁盟总表'!H391)</x:f>
      </x:c>
      <x:c r="I100" s="37" t="str">
        <x:f>IF('迁盟总表'!I391="","",'迁盟总表'!I391)</x:f>
      </x:c>
      <x:c r="J100" s="40" t="str">
        <x:f>IF('迁盟总表'!J391="","",'迁盟总表'!J391)</x:f>
      </x:c>
      <x:c r="K100" s="40" t="str">
        <x:f>IF('迁盟总表'!K391="","",'迁盟总表'!K391)</x:f>
      </x:c>
      <x:c r="L100" s="40" t="str">
        <x:f>IF('迁盟总表'!L391="","",'迁盟总表'!L391)</x:f>
      </x:c>
      <x:c r="M100" s="40" t="str">
        <x:f>IF('迁盟总表'!M391="","",'迁盟总表'!M391)</x:f>
      </x:c>
      <x:c r="N100" s="40" t="str">
        <x:f>IF('迁盟总表'!N391="","",'迁盟总表'!N391)</x:f>
      </x:c>
      <x:c r="O100" s="40" t="str">
        <x:f>IF('迁盟总表'!O391="","",'迁盟总表'!O391)</x:f>
      </x:c>
      <x:c r="P100" s="40" t="str">
        <x:f>IF('迁盟总表'!P391="","",'迁盟总表'!P391)</x:f>
      </x:c>
      <x:c r="Q100" s="43" t="n">
        <x:f>IF('迁盟总表'!X391="","",'迁盟总表'!X391)</x:f>
        <x:v>0.2</x:v>
      </x:c>
      <x:c r="R100" s="27" t="n">
        <x:f>IF('迁盟总表'!Y391="","",'迁盟总表'!Y391)</x:f>
        <x:v>385</x:v>
      </x:c>
      <x:c r="S100" s="55" t="str">
        <x:f>IF('迁盟总表'!Z391="","",'迁盟总表'!Z391)</x:f>
        <x:v>保持当前盟，减少迁移成本</x:v>
      </x:c>
    </x:row>
    <x:row r="101" ht="20" customHeight="1">
      <x:c r="A101" s="29" t="str">
        <x:f>IF('迁盟总表'!B392="","",'迁盟总表'!B392)</x:f>
        <x:v>极狐里</x:v>
      </x:c>
      <x:c r="B101" s="30" t="str">
        <x:f>IF('迁盟总表'!C392="","",'迁盟总表'!C392)</x:f>
        <x:v>燕云</x:v>
      </x:c>
      <x:c r="C101" s="68" t="str">
        <x:f>IF('迁盟总表'!D392="","",'迁盟总表'!D392)</x:f>
        <x:v>燕云</x:v>
      </x:c>
      <x:c r="D101" s="30" t="str">
        <x:f>IF('迁盟总表'!E392="","",'迁盟总表'!E392)</x:f>
        <x:v>留盟</x:v>
      </x:c>
      <x:c r="E101" s="41" t="str">
        <x:f>IF('迁盟总表'!Q392="","",'迁盟总表'!Q392)</x:f>
      </x:c>
      <x:c r="F101" s="41" t="n">
        <x:f>IF('迁盟总表'!R392="","",'迁盟总表'!R392)</x:f>
        <x:v>540883</x:v>
      </x:c>
      <x:c r="G101" s="41" t="n">
        <x:f>IF('迁盟总表'!S392="","",'迁盟总表'!S392)</x:f>
        <x:v>541035</x:v>
      </x:c>
      <x:c r="H101" s="38" t="str">
        <x:f>IF('迁盟总表'!H392="","",'迁盟总表'!H392)</x:f>
      </x:c>
      <x:c r="I101" s="38" t="str">
        <x:f>IF('迁盟总表'!I392="","",'迁盟总表'!I392)</x:f>
      </x:c>
      <x:c r="J101" s="41" t="str">
        <x:f>IF('迁盟总表'!J392="","",'迁盟总表'!J392)</x:f>
      </x:c>
      <x:c r="K101" s="41" t="str">
        <x:f>IF('迁盟总表'!K392="","",'迁盟总表'!K392)</x:f>
      </x:c>
      <x:c r="L101" s="41" t="str">
        <x:f>IF('迁盟总表'!L392="","",'迁盟总表'!L392)</x:f>
      </x:c>
      <x:c r="M101" s="41" t="str">
        <x:f>IF('迁盟总表'!M392="","",'迁盟总表'!M392)</x:f>
      </x:c>
      <x:c r="N101" s="41" t="str">
        <x:f>IF('迁盟总表'!N392="","",'迁盟总表'!N392)</x:f>
      </x:c>
      <x:c r="O101" s="41" t="str">
        <x:f>IF('迁盟总表'!O392="","",'迁盟总表'!O392)</x:f>
      </x:c>
      <x:c r="P101" s="41" t="str">
        <x:f>IF('迁盟总表'!P392="","",'迁盟总表'!P392)</x:f>
      </x:c>
      <x:c r="Q101" s="44" t="n">
        <x:f>IF('迁盟总表'!X392="","",'迁盟总表'!X392)</x:f>
        <x:v>0.2</x:v>
      </x:c>
      <x:c r="R101" s="30" t="n">
        <x:f>IF('迁盟总表'!Y392="","",'迁盟总表'!Y392)</x:f>
        <x:v>385</x:v>
      </x:c>
      <x:c r="S101" s="56" t="str">
        <x:f>IF('迁盟总表'!Z392="","",'迁盟总表'!Z392)</x:f>
        <x:v>保持当前盟，减少迁移成本</x:v>
      </x:c>
    </x:row>
  </x:sheetData>
  <x:mergeCells>
    <x:mergeCell ref="A1:S1"/>
    <x:mergeCell ref="A2:S2"/>
  </x:mergeCells>
  <x:conditionalFormatting sqref="D5:D101">
    <x:cfRule type="containsText" dxfId="6" priority="1" operator="containsText" text="→"/>
  </x:conditionalFormatting>
  <x:pageMargins left="0.7" right="0.7" top="0.75" bottom="0.75" header="0.3" footer="0.3"/>
  <x:tableParts count="1">
    <x:tablePart xmlns:r="http://schemas.openxmlformats.org/officeDocument/2006/relationships" r:id="Rf8487be885c840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5" hidden="0" customWidth="1"/>
    <x:col min="5" max="5" width="16" hidden="0" customWidth="1"/>
    <x:col min="6" max="6" width="14" hidden="0" customWidth="1"/>
    <x:col min="7" max="7" width="14" hidden="0" customWidth="1"/>
    <x:col min="8" max="8" width="11" hidden="0" customWidth="1"/>
    <x:col min="9" max="9" width="11" hidden="0" customWidth="1"/>
    <x:col min="10" max="10" width="10" hidden="0" customWidth="1"/>
    <x:col min="11" max="11" width="15" hidden="0" customWidth="1"/>
    <x:col min="12" max="12" width="42" hidden="0" customWidth="1"/>
  </x:cols>
  <x:sheetData>
    <x:row r="1" ht="30" customHeight="1">
      <x:c r="A1" s="3" t="str">
        <x:v>具体迁盟清单｜47人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1" customHeight="1">
      <x:c r="A2" s="7" t="str">
        <x:v>仅列需要实际操作的迁盟成员；按当前盟→建议盟分组，执行时先确认目标盟空位。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2" customHeight="1">
      <x:c r="A4" s="13" t="str">
        <x:v>成员名称</x:v>
      </x:c>
      <x:c r="B4" s="13" t="str">
        <x:v>当前盟</x:v>
      </x:c>
      <x:c r="C4" s="13" t="str">
        <x:v>迁入盟</x:v>
      </x:c>
      <x:c r="D4" s="13" t="str">
        <x:v>迁盟路径</x:v>
      </x:c>
      <x:c r="E4" s="13" t="str">
        <x:v>总功勋</x:v>
      </x:c>
      <x:c r="F4" s="13" t="str">
        <x:v>实力</x:v>
      </x:c>
      <x:c r="G4" s="13" t="str">
        <x:v>战力</x:v>
      </x:c>
      <x:c r="H4" s="13" t="str">
        <x:v>六维和</x:v>
      </x:c>
      <x:c r="I4" s="13" t="str">
        <x:v>战斗评分</x:v>
      </x:c>
      <x:c r="J4" s="13" t="str">
        <x:v>原意向</x:v>
      </x:c>
      <x:c r="K4" s="13" t="str">
        <x:v>旧表建议</x:v>
      </x:c>
      <x:c r="L4" s="13" t="str">
        <x:v>执行意见</x:v>
      </x:c>
    </x:row>
    <x:row r="5" ht="20" customHeight="1">
      <x:c r="A5" s="23" t="str">
        <x:v>霸道大叔孟鹤堂</x:v>
      </x:c>
      <x:c r="B5" s="24" t="str">
        <x:v>花晨</x:v>
      </x:c>
      <x:c r="C5" s="24" t="str">
        <x:v>兰亭</x:v>
      </x:c>
      <x:c r="D5" s="24" t="str">
        <x:v>花晨→兰亭</x:v>
      </x:c>
      <x:c r="E5" s="39" t="n">
        <x:v>7881358290</x:v>
      </x:c>
      <x:c r="F5" s="39" t="n">
        <x:v>108274437</x:v>
      </x:c>
      <x:c r="G5" s="39" t="n">
        <x:v>322083652</x:v>
      </x:c>
      <x:c r="H5" s="39" t="n">
        <x:v>5900</x:v>
      </x:c>
      <x:c r="I5" s="42" t="n">
        <x:v>85.61215553659332</x:v>
      </x:c>
      <x:c r="J5" s="24" t="str">
        <x:v>兰亭</x:v>
      </x:c>
      <x:c r="K5" s="24" t="str"/>
      <x:c r="L5" s="54" t="str">
        <x:v>补强一盟：总功勋、实力、战力及六维综合靠前</x:v>
      </x:c>
    </x:row>
    <x:row r="6" ht="20" customHeight="1">
      <x:c r="A6" s="26" t="str">
        <x:v>九幽睡不醒</x:v>
      </x:c>
      <x:c r="B6" s="27" t="str">
        <x:v>花晨</x:v>
      </x:c>
      <x:c r="C6" s="27" t="str">
        <x:v>兰亭</x:v>
      </x:c>
      <x:c r="D6" s="27" t="str">
        <x:v>花晨→兰亭</x:v>
      </x:c>
      <x:c r="E6" s="40" t="n">
        <x:v>11237254930</x:v>
      </x:c>
      <x:c r="F6" s="40" t="n">
        <x:v>110432752</x:v>
      </x:c>
      <x:c r="G6" s="40" t="n">
        <x:v>287946821</x:v>
      </x:c>
      <x:c r="H6" s="40" t="n">
        <x:v>5661</x:v>
      </x:c>
      <x:c r="I6" s="43" t="n">
        <x:v>85.40726243239531</x:v>
      </x:c>
      <x:c r="J6" s="27" t="str">
        <x:v>兰亭</x:v>
      </x:c>
      <x:c r="K6" s="27" t="str">
        <x:v>花晨</x:v>
      </x:c>
      <x:c r="L6" s="55" t="str">
        <x:v>补强一盟：总功勋、实力、战力及六维综合靠前</x:v>
      </x:c>
    </x:row>
    <x:row r="7" ht="20" customHeight="1">
      <x:c r="A7" s="26" t="str">
        <x:v>莫问丶</x:v>
      </x:c>
      <x:c r="B7" s="27" t="str">
        <x:v>花晨</x:v>
      </x:c>
      <x:c r="C7" s="27" t="str">
        <x:v>兰亭</x:v>
      </x:c>
      <x:c r="D7" s="27" t="str">
        <x:v>花晨→兰亭</x:v>
      </x:c>
      <x:c r="E7" s="40" t="n">
        <x:v>4143278434</x:v>
      </x:c>
      <x:c r="F7" s="40" t="n">
        <x:v>109219061</x:v>
      </x:c>
      <x:c r="G7" s="40" t="n">
        <x:v>332940632</x:v>
      </x:c>
      <x:c r="H7" s="40" t="n">
        <x:v>5413</x:v>
      </x:c>
      <x:c r="I7" s="43" t="n">
        <x:v>84.31186619350031</x:v>
      </x:c>
      <x:c r="J7" s="27" t="str">
        <x:v>兰亭</x:v>
      </x:c>
      <x:c r="K7" s="27" t="str">
        <x:v>花晨</x:v>
      </x:c>
      <x:c r="L7" s="55" t="str">
        <x:v>补强一盟：总功勋、实力、战力及六维综合靠前</x:v>
      </x:c>
    </x:row>
    <x:row r="8" ht="20" customHeight="1">
      <x:c r="A8" s="26" t="str">
        <x:v>喵喵睡不着</x:v>
      </x:c>
      <x:c r="B8" s="27" t="str">
        <x:v>花晨</x:v>
      </x:c>
      <x:c r="C8" s="27" t="str">
        <x:v>兰亭</x:v>
      </x:c>
      <x:c r="D8" s="27" t="str">
        <x:v>花晨→兰亭</x:v>
      </x:c>
      <x:c r="E8" s="40" t="n">
        <x:v>9117978892</x:v>
      </x:c>
      <x:c r="F8" s="40" t="n">
        <x:v>104108672</x:v>
      </x:c>
      <x:c r="G8" s="40" t="n">
        <x:v>294855881</x:v>
      </x:c>
      <x:c r="H8" s="40" t="n">
        <x:v>5555</x:v>
      </x:c>
      <x:c r="I8" s="43" t="n">
        <x:v>83.45077857205851</x:v>
      </x:c>
      <x:c r="J8" s="27" t="str">
        <x:v>兰亭</x:v>
      </x:c>
      <x:c r="K8" s="27" t="str">
        <x:v>花晨</x:v>
      </x:c>
      <x:c r="L8" s="55" t="str">
        <x:v>补强一盟：总功勋、实力、战力及六维综合靠前</x:v>
      </x:c>
    </x:row>
    <x:row r="9" ht="20" customHeight="1">
      <x:c r="A9" s="26" t="str">
        <x:v>不是泥</x:v>
      </x:c>
      <x:c r="B9" s="27" t="str">
        <x:v>花晨</x:v>
      </x:c>
      <x:c r="C9" s="27" t="str">
        <x:v>兰亭</x:v>
      </x:c>
      <x:c r="D9" s="27" t="str">
        <x:v>花晨→兰亭</x:v>
      </x:c>
      <x:c r="E9" s="40" t="n">
        <x:v>7526451790</x:v>
      </x:c>
      <x:c r="F9" s="40" t="n">
        <x:v>96362607</x:v>
      </x:c>
      <x:c r="G9" s="40" t="n">
        <x:v>337495986</x:v>
      </x:c>
      <x:c r="H9" s="40" t="n">
        <x:v>5039</x:v>
      </x:c>
      <x:c r="I9" s="43" t="n">
        <x:v>81.55850326748761</x:v>
      </x:c>
      <x:c r="J9" s="27" t="str">
        <x:v>兰亭</x:v>
      </x:c>
      <x:c r="K9" s="27" t="str">
        <x:v>花晨</x:v>
      </x:c>
      <x:c r="L9" s="55" t="str">
        <x:v>补强一盟：总功勋、实力、战力及六维综合靠前</x:v>
      </x:c>
    </x:row>
    <x:row r="10" ht="20" customHeight="1">
      <x:c r="A10" s="26" t="str">
        <x:v>治好了也留口水</x:v>
      </x:c>
      <x:c r="B10" s="27" t="str">
        <x:v>花晨</x:v>
      </x:c>
      <x:c r="C10" s="27" t="str">
        <x:v>兰亭</x:v>
      </x:c>
      <x:c r="D10" s="27" t="str">
        <x:v>花晨→兰亭</x:v>
      </x:c>
      <x:c r="E10" s="40" t="n">
        <x:v>5615681970</x:v>
      </x:c>
      <x:c r="F10" s="40" t="n">
        <x:v>102007771</x:v>
      </x:c>
      <x:c r="G10" s="40" t="n">
        <x:v>226369917</x:v>
      </x:c>
      <x:c r="H10" s="40" t="n">
        <x:v>4821</x:v>
      </x:c>
      <x:c r="I10" s="43" t="n">
        <x:v>78.9320110307575</x:v>
      </x:c>
      <x:c r="J10" s="27" t="str">
        <x:v>兰亭</x:v>
      </x:c>
      <x:c r="K10" s="27" t="str">
        <x:v>兰亭</x:v>
      </x:c>
      <x:c r="L10" s="55" t="str">
        <x:v>补强一盟：总功勋、实力、战力及六维综合靠前</x:v>
      </x:c>
    </x:row>
    <x:row r="11" ht="20" customHeight="1">
      <x:c r="A11" s="26" t="str">
        <x:v>汉武大帝</x:v>
      </x:c>
      <x:c r="B11" s="27" t="str">
        <x:v>兰亭</x:v>
      </x:c>
      <x:c r="C11" s="27" t="str">
        <x:v>花晨</x:v>
      </x:c>
      <x:c r="D11" s="27" t="str">
        <x:v>兰亭→花晨</x:v>
      </x:c>
      <x:c r="E11" s="40" t="n">
        <x:v>3808894782</x:v>
      </x:c>
      <x:c r="F11" s="40" t="n">
        <x:v>73323262</x:v>
      </x:c>
      <x:c r="G11" s="40" t="n">
        <x:v>209237788</x:v>
      </x:c>
      <x:c r="H11" s="40" t="n">
        <x:v>3263</x:v>
      </x:c>
      <x:c r="I11" s="43" t="n">
        <x:v>67.91767001176726</x:v>
      </x:c>
      <x:c r="J11" s="27" t="str">
        <x:v>兰亭</x:v>
      </x:c>
      <x:c r="K11" s="27" t="str">
        <x:v>花晨</x:v>
      </x:c>
      <x:c r="L11" s="55" t="str">
        <x:v>参考旧分配方案并结合容量调整</x:v>
      </x:c>
    </x:row>
    <x:row r="12" ht="20" customHeight="1">
      <x:c r="A12" s="26" t="str">
        <x:v>追梦者</x:v>
      </x:c>
      <x:c r="B12" s="27" t="str">
        <x:v>兰亭</x:v>
      </x:c>
      <x:c r="C12" s="27" t="str">
        <x:v>花晨</x:v>
      </x:c>
      <x:c r="D12" s="27" t="str">
        <x:v>兰亭→花晨</x:v>
      </x:c>
      <x:c r="E12" s="40" t="n">
        <x:v>3728997154</x:v>
      </x:c>
      <x:c r="F12" s="40" t="n">
        <x:v>65823659</x:v>
      </x:c>
      <x:c r="G12" s="40" t="n">
        <x:v>220012399</x:v>
      </x:c>
      <x:c r="H12" s="40" t="n">
        <x:v>3653</x:v>
      </x:c>
      <x:c r="I12" s="43" t="n">
        <x:v>66.8665279353626</x:v>
      </x:c>
      <x:c r="J12" s="27" t="str">
        <x:v>花晨</x:v>
      </x:c>
      <x:c r="K12" s="27" t="str"/>
      <x:c r="L12" s="55" t="str">
        <x:v>按原意向并结合容量调整</x:v>
      </x:c>
    </x:row>
    <x:row r="13" ht="20" customHeight="1">
      <x:c r="A13" s="26" t="str">
        <x:v>涿郡屠户</x:v>
      </x:c>
      <x:c r="B13" s="27" t="str">
        <x:v>兰亭</x:v>
      </x:c>
      <x:c r="C13" s="27" t="str">
        <x:v>花晨</x:v>
      </x:c>
      <x:c r="D13" s="27" t="str">
        <x:v>兰亭→花晨</x:v>
      </x:c>
      <x:c r="E13" s="40" t="n">
        <x:v>95363376</x:v>
      </x:c>
      <x:c r="F13" s="40" t="n">
        <x:v>77408055</x:v>
      </x:c>
      <x:c r="G13" s="40" t="n">
        <x:v>277211281</x:v>
      </x:c>
      <x:c r="H13" s="40"/>
      <x:c r="I13" s="43" t="n">
        <x:v>66.16519118650042</x:v>
      </x:c>
      <x:c r="J13" s="27"/>
      <x:c r="K13" s="27" t="str">
        <x:v>花晨</x:v>
      </x:c>
      <x:c r="L13" s="55" t="str">
        <x:v>参考旧分配方案并结合容量调整</x:v>
      </x:c>
    </x:row>
    <x:row r="14" ht="20" customHeight="1">
      <x:c r="A14" s="26" t="str">
        <x:v>醉开心</x:v>
      </x:c>
      <x:c r="B14" s="27" t="str">
        <x:v>兰亭</x:v>
      </x:c>
      <x:c r="C14" s="27" t="str">
        <x:v>玲珑</x:v>
      </x:c>
      <x:c r="D14" s="27" t="str">
        <x:v>兰亭→玲珑</x:v>
      </x:c>
      <x:c r="E14" s="40" t="n">
        <x:v>876731487</x:v>
      </x:c>
      <x:c r="F14" s="40" t="n">
        <x:v>74439366</x:v>
      </x:c>
      <x:c r="G14" s="40" t="n">
        <x:v>229020100</x:v>
      </x:c>
      <x:c r="H14" s="40"/>
      <x:c r="I14" s="43" t="n">
        <x:v>67.96810933273538</x:v>
      </x:c>
      <x:c r="J14" s="27"/>
      <x:c r="K14" s="27" t="str">
        <x:v>玲珑</x:v>
      </x:c>
      <x:c r="L14" s="55" t="str">
        <x:v>参考旧分配方案并结合容量调整</x:v>
      </x:c>
    </x:row>
    <x:row r="15" ht="20" customHeight="1">
      <x:c r="A15" s="26" t="str">
        <x:v>大哥的小弟</x:v>
      </x:c>
      <x:c r="B15" s="27" t="str">
        <x:v>兰亭</x:v>
      </x:c>
      <x:c r="C15" s="27" t="str">
        <x:v>玲珑</x:v>
      </x:c>
      <x:c r="D15" s="27" t="str">
        <x:v>兰亭→玲珑</x:v>
      </x:c>
      <x:c r="E15" s="40" t="n">
        <x:v>1794717001</x:v>
      </x:c>
      <x:c r="F15" s="40" t="n">
        <x:v>67406190</x:v>
      </x:c>
      <x:c r="G15" s="40" t="n">
        <x:v>239762168</x:v>
      </x:c>
      <x:c r="H15" s="40"/>
      <x:c r="I15" s="43" t="n">
        <x:v>67.65865190935259</x:v>
      </x:c>
      <x:c r="J15" s="27"/>
      <x:c r="K15" s="27" t="str">
        <x:v>玲珑</x:v>
      </x:c>
      <x:c r="L15" s="55" t="str">
        <x:v>参考旧分配方案并结合容量调整</x:v>
      </x:c>
    </x:row>
    <x:row r="16" ht="20" customHeight="1">
      <x:c r="A16" s="26" t="str">
        <x:v>王者农药</x:v>
      </x:c>
      <x:c r="B16" s="27" t="str">
        <x:v>兰亭</x:v>
      </x:c>
      <x:c r="C16" s="27" t="str">
        <x:v>玲珑</x:v>
      </x:c>
      <x:c r="D16" s="27" t="str">
        <x:v>兰亭→玲珑</x:v>
      </x:c>
      <x:c r="E16" s="40" t="n">
        <x:v>1245453583</x:v>
      </x:c>
      <x:c r="F16" s="40" t="n">
        <x:v>72933017</x:v>
      </x:c>
      <x:c r="G16" s="40" t="n">
        <x:v>208354872</x:v>
      </x:c>
      <x:c r="H16" s="40" t="n">
        <x:v>0</x:v>
      </x:c>
      <x:c r="I16" s="43" t="n">
        <x:v>67.5327056667068</x:v>
      </x:c>
      <x:c r="J16" s="27"/>
      <x:c r="K16" s="27" t="str"/>
      <x:c r="L16" s="55" t="str">
        <x:v>为一盟战斗重组和盟容量平衡进行对调</x:v>
      </x:c>
    </x:row>
    <x:row r="17" ht="20" customHeight="1">
      <x:c r="A17" s="26" t="str">
        <x:v>轻风飘雨</x:v>
      </x:c>
      <x:c r="B17" s="27" t="str">
        <x:v>兰亭</x:v>
      </x:c>
      <x:c r="C17" s="27" t="str">
        <x:v>玲珑</x:v>
      </x:c>
      <x:c r="D17" s="27" t="str">
        <x:v>兰亭→玲珑</x:v>
      </x:c>
      <x:c r="E17" s="40" t="n">
        <x:v>168036800</x:v>
      </x:c>
      <x:c r="F17" s="40" t="n">
        <x:v>76674530</x:v>
      </x:c>
      <x:c r="G17" s="40" t="n">
        <x:v>244476463</x:v>
      </x:c>
      <x:c r="H17" s="40"/>
      <x:c r="I17" s="43" t="n">
        <x:v>65.96996173619104</x:v>
      </x:c>
      <x:c r="J17" s="27"/>
      <x:c r="K17" s="27" t="str"/>
      <x:c r="L17" s="55" t="str">
        <x:v>为一盟战斗重组和盟容量平衡进行对调</x:v>
      </x:c>
    </x:row>
    <x:row r="18" ht="20" customHeight="1">
      <x:c r="A18" s="26" t="str">
        <x:v>统一全球</x:v>
      </x:c>
      <x:c r="B18" s="27" t="str">
        <x:v>兰亭</x:v>
      </x:c>
      <x:c r="C18" s="27" t="str">
        <x:v>玲珑</x:v>
      </x:c>
      <x:c r="D18" s="27" t="str">
        <x:v>兰亭→玲珑</x:v>
      </x:c>
      <x:c r="E18" s="40" t="n">
        <x:v>2863183380</x:v>
      </x:c>
      <x:c r="F18" s="40" t="n">
        <x:v>64374580</x:v>
      </x:c>
      <x:c r="G18" s="40" t="n">
        <x:v>175081773</x:v>
      </x:c>
      <x:c r="H18" s="40"/>
      <x:c r="I18" s="43" t="n">
        <x:v>65.57811584459179</x:v>
      </x:c>
      <x:c r="J18" s="27"/>
      <x:c r="K18" s="27" t="str">
        <x:v>花晨</x:v>
      </x:c>
      <x:c r="L18" s="55" t="str">
        <x:v>为一盟战斗重组和盟容量平衡进行对调</x:v>
      </x:c>
    </x:row>
    <x:row r="19" ht="20" customHeight="1">
      <x:c r="A19" s="26" t="str">
        <x:v>小马同学</x:v>
      </x:c>
      <x:c r="B19" s="27" t="str">
        <x:v>兰亭</x:v>
      </x:c>
      <x:c r="C19" s="27" t="str">
        <x:v>玲珑</x:v>
      </x:c>
      <x:c r="D19" s="27" t="str">
        <x:v>兰亭→玲珑</x:v>
      </x:c>
      <x:c r="E19" s="40" t="n">
        <x:v>384168088</x:v>
      </x:c>
      <x:c r="F19" s="40" t="n">
        <x:v>74232041</x:v>
      </x:c>
      <x:c r="G19" s="40" t="n">
        <x:v>214637154</x:v>
      </x:c>
      <x:c r="H19" s="40" t="n">
        <x:v>3877</x:v>
      </x:c>
      <x:c r="I19" s="43" t="n">
        <x:v>65.34348240578717</x:v>
      </x:c>
      <x:c r="J19" s="27" t="str">
        <x:v>兰亭</x:v>
      </x:c>
      <x:c r="K19" s="27" t="str">
        <x:v>玲珑</x:v>
      </x:c>
      <x:c r="L19" s="55" t="str">
        <x:v>参考旧分配方案并结合容量调整</x:v>
      </x:c>
    </x:row>
    <x:row r="20" ht="20" customHeight="1">
      <x:c r="A20" s="26" t="str">
        <x:v>过关斩将</x:v>
      </x:c>
      <x:c r="B20" s="27" t="str">
        <x:v>兰亭</x:v>
      </x:c>
      <x:c r="C20" s="27" t="str">
        <x:v>玲珑</x:v>
      </x:c>
      <x:c r="D20" s="27" t="str">
        <x:v>兰亭→玲珑</x:v>
      </x:c>
      <x:c r="E20" s="40" t="n">
        <x:v>2242689367</x:v>
      </x:c>
      <x:c r="F20" s="40" t="n">
        <x:v>61656774</x:v>
      </x:c>
      <x:c r="G20" s="40" t="n">
        <x:v>197954914</x:v>
      </x:c>
      <x:c r="H20" s="40"/>
      <x:c r="I20" s="43" t="n">
        <x:v>65.07487322122236</x:v>
      </x:c>
      <x:c r="J20" s="27"/>
      <x:c r="K20" s="27" t="str"/>
      <x:c r="L20" s="55" t="str">
        <x:v>为一盟战斗重组和盟容量平衡进行对调</x:v>
      </x:c>
    </x:row>
    <x:row r="21" ht="20" customHeight="1">
      <x:c r="A21" s="26" t="str">
        <x:v>莽二哥</x:v>
      </x:c>
      <x:c r="B21" s="27" t="str">
        <x:v>兰亭</x:v>
      </x:c>
      <x:c r="C21" s="27" t="str">
        <x:v>玲珑</x:v>
      </x:c>
      <x:c r="D21" s="27" t="str">
        <x:v>兰亭→玲珑</x:v>
      </x:c>
      <x:c r="E21" s="40" t="n">
        <x:v>1631706264</x:v>
      </x:c>
      <x:c r="F21" s="40" t="n">
        <x:v>64228382</x:v>
      </x:c>
      <x:c r="G21" s="40" t="n">
        <x:v>193800087</x:v>
      </x:c>
      <x:c r="H21" s="40"/>
      <x:c r="I21" s="43" t="n">
        <x:v>65.07396714252376</x:v>
      </x:c>
      <x:c r="J21" s="27"/>
      <x:c r="K21" s="27" t="str"/>
      <x:c r="L21" s="55" t="str">
        <x:v>为一盟战斗重组和盟容量平衡进行对调</x:v>
      </x:c>
    </x:row>
    <x:row r="22" ht="20" customHeight="1">
      <x:c r="A22" s="26" t="str">
        <x:v>笑笑大王</x:v>
      </x:c>
      <x:c r="B22" s="27" t="str">
        <x:v>兰亭</x:v>
      </x:c>
      <x:c r="C22" s="27" t="str">
        <x:v>玲珑</x:v>
      </x:c>
      <x:c r="D22" s="27" t="str">
        <x:v>兰亭→玲珑</x:v>
      </x:c>
      <x:c r="E22" s="40" t="n">
        <x:v>1217336074</x:v>
      </x:c>
      <x:c r="F22" s="40" t="n">
        <x:v>66880532</x:v>
      </x:c>
      <x:c r="G22" s="40" t="n">
        <x:v>223882880</x:v>
      </x:c>
      <x:c r="H22" s="40" t="n">
        <x:v>3299</x:v>
      </x:c>
      <x:c r="I22" s="43" t="n">
        <x:v>64.78367265131504</x:v>
      </x:c>
      <x:c r="J22" s="27" t="str">
        <x:v>兰亭</x:v>
      </x:c>
      <x:c r="K22" s="27" t="str">
        <x:v>玲珑</x:v>
      </x:c>
      <x:c r="L22" s="55" t="str">
        <x:v>参考旧分配方案并结合容量调整</x:v>
      </x:c>
    </x:row>
    <x:row r="23" ht="20" customHeight="1">
      <x:c r="A23" s="26" t="str">
        <x:v>三维碾压</x:v>
      </x:c>
      <x:c r="B23" s="27" t="str">
        <x:v>兰亭</x:v>
      </x:c>
      <x:c r="C23" s="27" t="str">
        <x:v>玲珑</x:v>
      </x:c>
      <x:c r="D23" s="27" t="str">
        <x:v>兰亭→玲珑</x:v>
      </x:c>
      <x:c r="E23" s="40" t="n">
        <x:v>1745146686</x:v>
      </x:c>
      <x:c r="F23" s="40" t="n">
        <x:v>67191950</x:v>
      </x:c>
      <x:c r="G23" s="40" t="n">
        <x:v>213104331</x:v>
      </x:c>
      <x:c r="H23" s="40" t="n">
        <x:v>2993</x:v>
      </x:c>
      <x:c r="I23" s="43" t="n">
        <x:v>64.68782800496696</x:v>
      </x:c>
      <x:c r="J23" s="27" t="str">
        <x:v>随便，盟里活人多就行</x:v>
      </x:c>
      <x:c r="K23" s="27" t="str">
        <x:v>花晨</x:v>
      </x:c>
      <x:c r="L23" s="55" t="str">
        <x:v>为一盟战斗重组和盟容量平衡进行对调</x:v>
      </x:c>
    </x:row>
    <x:row r="24" ht="20" customHeight="1">
      <x:c r="A24" s="26" t="str">
        <x:v>一帆风顺</x:v>
      </x:c>
      <x:c r="B24" s="27" t="str">
        <x:v>兰亭</x:v>
      </x:c>
      <x:c r="C24" s="27" t="str">
        <x:v>燕云</x:v>
      </x:c>
      <x:c r="D24" s="27" t="str">
        <x:v>兰亭→燕云</x:v>
      </x:c>
      <x:c r="E24" s="40" t="n">
        <x:v>2909955282</x:v>
      </x:c>
      <x:c r="F24" s="40" t="n">
        <x:v>60753486</x:v>
      </x:c>
      <x:c r="G24" s="40" t="n">
        <x:v>168393437</x:v>
      </x:c>
      <x:c r="H24" s="40"/>
      <x:c r="I24" s="43" t="n">
        <x:v>64.3518637167512</x:v>
      </x:c>
      <x:c r="J24" s="27"/>
      <x:c r="K24" s="27" t="str"/>
      <x:c r="L24" s="55" t="str">
        <x:v>为一盟战斗重组和盟容量平衡进行对调</x:v>
      </x:c>
    </x:row>
    <x:row r="25" ht="20" customHeight="1">
      <x:c r="A25" s="26" t="str">
        <x:v>一身反骨的棉花</x:v>
      </x:c>
      <x:c r="B25" s="27" t="str">
        <x:v>兰亭</x:v>
      </x:c>
      <x:c r="C25" s="27" t="str">
        <x:v>燕云</x:v>
      </x:c>
      <x:c r="D25" s="27" t="str">
        <x:v>兰亭→燕云</x:v>
      </x:c>
      <x:c r="E25" s="40" t="n">
        <x:v>1091922781</x:v>
      </x:c>
      <x:c r="F25" s="40" t="n">
        <x:v>69195135</x:v>
      </x:c>
      <x:c r="G25" s="40" t="n">
        <x:v>189479935</x:v>
      </x:c>
      <x:c r="H25" s="40" t="n">
        <x:v>3334</x:v>
      </x:c>
      <x:c r="I25" s="43" t="n">
        <x:v>64.24634684857129</x:v>
      </x:c>
      <x:c r="J25" s="27" t="str">
        <x:v>兰亭</x:v>
      </x:c>
      <x:c r="K25" s="27" t="str"/>
      <x:c r="L25" s="55" t="str">
        <x:v>为一盟战斗重组和盟容量平衡进行对调</x:v>
      </x:c>
    </x:row>
    <x:row r="26" ht="20" customHeight="1">
      <x:c r="A26" s="26" t="str">
        <x:v>石鼓名山</x:v>
      </x:c>
      <x:c r="B26" s="27" t="str">
        <x:v>兰亭</x:v>
      </x:c>
      <x:c r="C26" s="27" t="str">
        <x:v>燕云</x:v>
      </x:c>
      <x:c r="D26" s="27" t="str">
        <x:v>兰亭→燕云</x:v>
      </x:c>
      <x:c r="E26" s="40" t="n">
        <x:v>858188066</x:v>
      </x:c>
      <x:c r="F26" s="40" t="n">
        <x:v>62625980</x:v>
      </x:c>
      <x:c r="G26" s="40" t="n">
        <x:v>196829185</x:v>
      </x:c>
      <x:c r="H26" s="40"/>
      <x:c r="I26" s="43" t="n">
        <x:v>63.49004001599435</x:v>
      </x:c>
      <x:c r="J26" s="27"/>
      <x:c r="K26" s="27" t="str"/>
      <x:c r="L26" s="55" t="str">
        <x:v>为一盟战斗重组和盟容量平衡进行对调</x:v>
      </x:c>
    </x:row>
    <x:row r="27" ht="20" customHeight="1">
      <x:c r="A27" s="26" t="str">
        <x:v>不败的战神</x:v>
      </x:c>
      <x:c r="B27" s="27" t="str">
        <x:v>兰亭</x:v>
      </x:c>
      <x:c r="C27" s="27" t="str">
        <x:v>燕云</x:v>
      </x:c>
      <x:c r="D27" s="27" t="str">
        <x:v>兰亭→燕云</x:v>
      </x:c>
      <x:c r="E27" s="40" t="n">
        <x:v>1692327222</x:v>
      </x:c>
      <x:c r="F27" s="40" t="n">
        <x:v>63503590</x:v>
      </x:c>
      <x:c r="G27" s="40" t="n">
        <x:v>186643053</x:v>
      </x:c>
      <x:c r="H27" s="40" t="n">
        <x:v>3343</x:v>
      </x:c>
      <x:c r="I27" s="43" t="n">
        <x:v>63.45613921381634</x:v>
      </x:c>
      <x:c r="J27" s="27" t="str">
        <x:v>兰亭</x:v>
      </x:c>
      <x:c r="K27" s="27" t="str"/>
      <x:c r="L27" s="55" t="str">
        <x:v>为一盟战斗重组和盟容量平衡进行对调</x:v>
      </x:c>
    </x:row>
    <x:row r="28" ht="20" customHeight="1">
      <x:c r="A28" s="26" t="str">
        <x:v>一粒沙尘</x:v>
      </x:c>
      <x:c r="B28" s="27" t="str">
        <x:v>兰亭</x:v>
      </x:c>
      <x:c r="C28" s="27" t="str">
        <x:v>燕云</x:v>
      </x:c>
      <x:c r="D28" s="27" t="str">
        <x:v>兰亭→燕云</x:v>
      </x:c>
      <x:c r="E28" s="40" t="n">
        <x:v>620725406</x:v>
      </x:c>
      <x:c r="F28" s="40" t="n">
        <x:v>65997748</x:v>
      </x:c>
      <x:c r="G28" s="40" t="n">
        <x:v>164043284</x:v>
      </x:c>
      <x:c r="H28" s="40"/>
      <x:c r="I28" s="43" t="n">
        <x:v>62.779110064787034</x:v>
      </x:c>
      <x:c r="J28" s="27"/>
      <x:c r="K28" s="27" t="str"/>
      <x:c r="L28" s="55" t="str">
        <x:v>为一盟战斗重组和盟容量平衡进行对调</x:v>
      </x:c>
    </x:row>
    <x:row r="29" ht="20" customHeight="1">
      <x:c r="A29" s="26" t="str">
        <x:v>多多苗</x:v>
      </x:c>
      <x:c r="B29" s="27" t="str">
        <x:v>兰亭</x:v>
      </x:c>
      <x:c r="C29" s="27" t="str">
        <x:v>燕云</x:v>
      </x:c>
      <x:c r="D29" s="27" t="str">
        <x:v>兰亭→燕云</x:v>
      </x:c>
      <x:c r="E29" s="40" t="n">
        <x:v>123279952</x:v>
      </x:c>
      <x:c r="F29" s="40" t="n">
        <x:v>68101890</x:v>
      </x:c>
      <x:c r="G29" s="40" t="n">
        <x:v>236025118</x:v>
      </x:c>
      <x:c r="H29" s="40"/>
      <x:c r="I29" s="43" t="n">
        <x:v>62.64444774162012</x:v>
      </x:c>
      <x:c r="J29" s="27"/>
      <x:c r="K29" s="27" t="str"/>
      <x:c r="L29" s="55" t="str">
        <x:v>为一盟战斗重组和盟容量平衡进行对调</x:v>
      </x:c>
    </x:row>
    <x:row r="30" ht="20" customHeight="1">
      <x:c r="A30" s="26" t="str">
        <x:v>专注种地</x:v>
      </x:c>
      <x:c r="B30" s="27" t="str">
        <x:v>兰亭</x:v>
      </x:c>
      <x:c r="C30" s="27" t="str">
        <x:v>燕云</x:v>
      </x:c>
      <x:c r="D30" s="27" t="str">
        <x:v>兰亭→燕云</x:v>
      </x:c>
      <x:c r="E30" s="40" t="n">
        <x:v>851773262</x:v>
      </x:c>
      <x:c r="F30" s="40" t="n">
        <x:v>64256495</x:v>
      </x:c>
      <x:c r="G30" s="40" t="n">
        <x:v>192477131</x:v>
      </x:c>
      <x:c r="H30" s="40" t="n">
        <x:v>3075</x:v>
      </x:c>
      <x:c r="I30" s="43" t="n">
        <x:v>62.227351175509895</x:v>
      </x:c>
      <x:c r="J30" s="27" t="str">
        <x:v>兰亭</x:v>
      </x:c>
      <x:c r="K30" s="27" t="str">
        <x:v>花晨</x:v>
      </x:c>
      <x:c r="L30" s="55" t="str">
        <x:v>为一盟战斗重组和盟容量平衡进行对调</x:v>
      </x:c>
    </x:row>
    <x:row r="31" ht="20" customHeight="1">
      <x:c r="A31" s="26" t="str">
        <x:v>蓝天白云</x:v>
      </x:c>
      <x:c r="B31" s="27" t="str">
        <x:v>兰亭</x:v>
      </x:c>
      <x:c r="C31" s="27" t="str">
        <x:v>燕云</x:v>
      </x:c>
      <x:c r="D31" s="27" t="str">
        <x:v>兰亭→燕云</x:v>
      </x:c>
      <x:c r="E31" s="40" t="n">
        <x:v>71240368</x:v>
      </x:c>
      <x:c r="F31" s="40" t="n">
        <x:v>70988297</x:v>
      </x:c>
      <x:c r="G31" s="40" t="n">
        <x:v>212230845</x:v>
      </x:c>
      <x:c r="H31" s="40"/>
      <x:c r="I31" s="43" t="n">
        <x:v>61.65890752465434</x:v>
      </x:c>
      <x:c r="J31" s="27"/>
      <x:c r="K31" s="27" t="str">
        <x:v>花晨</x:v>
      </x:c>
      <x:c r="L31" s="55" t="str">
        <x:v>为一盟战斗重组和盟容量平衡进行对调</x:v>
      </x:c>
    </x:row>
    <x:row r="32" ht="20" customHeight="1">
      <x:c r="A32" s="26" t="str">
        <x:v>乔伊斯</x:v>
      </x:c>
      <x:c r="B32" s="27" t="str">
        <x:v>兰亭</x:v>
      </x:c>
      <x:c r="C32" s="27" t="str">
        <x:v>燕云</x:v>
      </x:c>
      <x:c r="D32" s="27" t="str">
        <x:v>兰亭→燕云</x:v>
      </x:c>
      <x:c r="E32" s="40" t="n">
        <x:v>264338188</x:v>
      </x:c>
      <x:c r="F32" s="40" t="n">
        <x:v>63325012</x:v>
      </x:c>
      <x:c r="G32" s="40" t="n">
        <x:v>194354584</x:v>
      </x:c>
      <x:c r="H32" s="40"/>
      <x:c r="I32" s="43" t="n">
        <x:v>61.37122420072294</x:v>
      </x:c>
      <x:c r="J32" s="27"/>
      <x:c r="K32" s="27" t="str">
        <x:v>花晨</x:v>
      </x:c>
      <x:c r="L32" s="55" t="str">
        <x:v>为一盟战斗重组和盟容量平衡进行对调</x:v>
      </x:c>
    </x:row>
    <x:row r="33" ht="20" customHeight="1">
      <x:c r="A33" s="26" t="str">
        <x:v>李莫愁</x:v>
      </x:c>
      <x:c r="B33" s="27" t="str">
        <x:v>兰亭</x:v>
      </x:c>
      <x:c r="C33" s="27" t="str">
        <x:v>燕云</x:v>
      </x:c>
      <x:c r="D33" s="27" t="str">
        <x:v>兰亭→燕云</x:v>
      </x:c>
      <x:c r="E33" s="40" t="n">
        <x:v>582366214</x:v>
      </x:c>
      <x:c r="F33" s="40" t="n">
        <x:v>61205537</x:v>
      </x:c>
      <x:c r="G33" s="40" t="n">
        <x:v>201538097</x:v>
      </x:c>
      <x:c r="H33" s="40" t="n">
        <x:v>3110</x:v>
      </x:c>
      <x:c r="I33" s="43" t="n">
        <x:v>61.10709273553646</x:v>
      </x:c>
      <x:c r="J33" s="27"/>
      <x:c r="K33" s="27" t="str"/>
      <x:c r="L33" s="55" t="str">
        <x:v>为一盟战斗重组和盟容量平衡进行对调</x:v>
      </x:c>
    </x:row>
    <x:row r="34" ht="20" customHeight="1">
      <x:c r="A34" s="26" t="str">
        <x:v>叫老公</x:v>
      </x:c>
      <x:c r="B34" s="27" t="str">
        <x:v>兰亭</x:v>
      </x:c>
      <x:c r="C34" s="27" t="str">
        <x:v>燕云</x:v>
      </x:c>
      <x:c r="D34" s="27" t="str">
        <x:v>兰亭→燕云</x:v>
      </x:c>
      <x:c r="E34" s="40" t="n">
        <x:v>91610220</x:v>
      </x:c>
      <x:c r="F34" s="40" t="n">
        <x:v>69082615</x:v>
      </x:c>
      <x:c r="G34" s="40" t="n">
        <x:v>196667568</x:v>
      </x:c>
      <x:c r="H34" s="40"/>
      <x:c r="I34" s="43" t="n">
        <x:v>61.084938365892086</x:v>
      </x:c>
      <x:c r="J34" s="27"/>
      <x:c r="K34" s="27" t="str"/>
      <x:c r="L34" s="55" t="str">
        <x:v>为一盟战斗重组和盟容量平衡进行对调</x:v>
      </x:c>
    </x:row>
    <x:row r="35" ht="20" customHeight="1">
      <x:c r="A35" s="26" t="str">
        <x:v>没想过</x:v>
      </x:c>
      <x:c r="B35" s="27" t="str">
        <x:v>兰亭</x:v>
      </x:c>
      <x:c r="C35" s="27" t="str">
        <x:v>燕云</x:v>
      </x:c>
      <x:c r="D35" s="27" t="str">
        <x:v>兰亭→燕云</x:v>
      </x:c>
      <x:c r="E35" s="40" t="n">
        <x:v>29359140</x:v>
      </x:c>
      <x:c r="F35" s="40" t="n">
        <x:v>55951016</x:v>
      </x:c>
      <x:c r="G35" s="40" t="n">
        <x:v>160003850</x:v>
      </x:c>
      <x:c r="H35" s="40"/>
      <x:c r="I35" s="43" t="n">
        <x:v>53.95986699044954</x:v>
      </x:c>
      <x:c r="J35" s="27"/>
      <x:c r="K35" s="27" t="str"/>
      <x:c r="L35" s="55" t="str">
        <x:v>为一盟战斗重组和盟容量平衡进行对调</x:v>
      </x:c>
    </x:row>
    <x:row r="36" ht="20" customHeight="1">
      <x:c r="A36" s="26" t="str">
        <x:v>小王丶</x:v>
      </x:c>
      <x:c r="B36" s="27" t="str">
        <x:v>玲珑</x:v>
      </x:c>
      <x:c r="C36" s="27" t="str">
        <x:v>兰亭</x:v>
      </x:c>
      <x:c r="D36" s="27" t="str">
        <x:v>玲珑→兰亭</x:v>
      </x:c>
      <x:c r="E36" s="40" t="n">
        <x:v>6308918612</x:v>
      </x:c>
      <x:c r="F36" s="40" t="n">
        <x:v>121083366</x:v>
      </x:c>
      <x:c r="G36" s="40" t="n">
        <x:v>513835940</x:v>
      </x:c>
      <x:c r="H36" s="40" t="n">
        <x:v>6072</x:v>
      </x:c>
      <x:c r="I36" s="43" t="n">
        <x:v>94.40903054131215</x:v>
      </x:c>
      <x:c r="J36" s="27" t="str">
        <x:v>兰亭</x:v>
      </x:c>
      <x:c r="K36" s="27" t="str">
        <x:v>兰亭</x:v>
      </x:c>
      <x:c r="L36" s="55" t="str">
        <x:v>补强一盟：总功勋、实力、战力及六维综合靠前</x:v>
      </x:c>
    </x:row>
    <x:row r="37" ht="20" customHeight="1">
      <x:c r="A37" s="26" t="str">
        <x:v>小太子奶</x:v>
      </x:c>
      <x:c r="B37" s="27" t="str">
        <x:v>玲珑</x:v>
      </x:c>
      <x:c r="C37" s="27" t="str">
        <x:v>兰亭</x:v>
      </x:c>
      <x:c r="D37" s="27" t="str">
        <x:v>玲珑→兰亭</x:v>
      </x:c>
      <x:c r="E37" s="40" t="n">
        <x:v>7138481012</x:v>
      </x:c>
      <x:c r="F37" s="40" t="n">
        <x:v>119041565</x:v>
      </x:c>
      <x:c r="G37" s="40" t="n">
        <x:v>321421839</x:v>
      </x:c>
      <x:c r="H37" s="40" t="n">
        <x:v>6076</x:v>
      </x:c>
      <x:c r="I37" s="43" t="n">
        <x:v>88.48187807922227</x:v>
      </x:c>
      <x:c r="J37" s="27" t="str">
        <x:v>兰亭</x:v>
      </x:c>
      <x:c r="K37" s="27" t="str">
        <x:v>兰亭</x:v>
      </x:c>
      <x:c r="L37" s="55" t="str">
        <x:v>补强一盟：总功勋、实力、战力及六维综合靠前</x:v>
      </x:c>
    </x:row>
    <x:row r="38" ht="20" customHeight="1">
      <x:c r="A38" s="26" t="str">
        <x:v>月溅星河</x:v>
      </x:c>
      <x:c r="B38" s="27" t="str">
        <x:v>玲珑</x:v>
      </x:c>
      <x:c r="C38" s="27" t="str">
        <x:v>兰亭</x:v>
      </x:c>
      <x:c r="D38" s="27" t="str">
        <x:v>玲珑→兰亭</x:v>
      </x:c>
      <x:c r="E38" s="40" t="n">
        <x:v>2129796306</x:v>
      </x:c>
      <x:c r="F38" s="40" t="n">
        <x:v>121310088</x:v>
      </x:c>
      <x:c r="G38" s="40" t="n">
        <x:v>342534463</x:v>
      </x:c>
      <x:c r="H38" s="40" t="n">
        <x:v>6024</x:v>
      </x:c>
      <x:c r="I38" s="43" t="n">
        <x:v>87.53343480195835</x:v>
      </x:c>
      <x:c r="J38" s="27" t="str">
        <x:v>兰亭</x:v>
      </x:c>
      <x:c r="K38" s="27" t="str">
        <x:v>兰亭</x:v>
      </x:c>
      <x:c r="L38" s="55" t="str">
        <x:v>补强一盟：总功勋、实力、战力及六维综合靠前</x:v>
      </x:c>
    </x:row>
    <x:row r="39" ht="20" customHeight="1">
      <x:c r="A39" s="26" t="str">
        <x:v>蓝天予你</x:v>
      </x:c>
      <x:c r="B39" s="27" t="str">
        <x:v>玲珑</x:v>
      </x:c>
      <x:c r="C39" s="27" t="str">
        <x:v>兰亭</x:v>
      </x:c>
      <x:c r="D39" s="27" t="str">
        <x:v>玲珑→兰亭</x:v>
      </x:c>
      <x:c r="E39" s="40" t="n">
        <x:v>4418436658</x:v>
      </x:c>
      <x:c r="F39" s="40" t="n">
        <x:v>118628524</x:v>
      </x:c>
      <x:c r="G39" s="40" t="n">
        <x:v>320613957</x:v>
      </x:c>
      <x:c r="H39" s="40"/>
      <x:c r="I39" s="43" t="n">
        <x:v>86.70750491828443</x:v>
      </x:c>
      <x:c r="J39" s="27"/>
      <x:c r="K39" s="27" t="str"/>
      <x:c r="L39" s="55" t="str">
        <x:v>补强一盟：总功勋、实力、战力及六维综合靠前</x:v>
      </x:c>
    </x:row>
    <x:row r="40" ht="20" customHeight="1">
      <x:c r="A40" s="26" t="str">
        <x:v>充电宝</x:v>
      </x:c>
      <x:c r="B40" s="27" t="str">
        <x:v>玲珑</x:v>
      </x:c>
      <x:c r="C40" s="27" t="str">
        <x:v>兰亭</x:v>
      </x:c>
      <x:c r="D40" s="27" t="str">
        <x:v>玲珑→兰亭</x:v>
      </x:c>
      <x:c r="E40" s="40" t="n">
        <x:v>5669289950</x:v>
      </x:c>
      <x:c r="F40" s="40" t="n">
        <x:v>104895523</x:v>
      </x:c>
      <x:c r="G40" s="40" t="n">
        <x:v>392127036</x:v>
      </x:c>
      <x:c r="H40" s="40" t="n">
        <x:v>5039</x:v>
      </x:c>
      <x:c r="I40" s="43" t="n">
        <x:v>84.87424161062962</x:v>
      </x:c>
      <x:c r="J40" s="27" t="str">
        <x:v>兰亭</x:v>
      </x:c>
      <x:c r="K40" s="27" t="str">
        <x:v>兰亭</x:v>
      </x:c>
      <x:c r="L40" s="55" t="str">
        <x:v>补强一盟：总功勋、实力、战力及六维综合靠前</x:v>
      </x:c>
    </x:row>
    <x:row r="41" ht="20" customHeight="1">
      <x:c r="A41" s="26" t="str">
        <x:v>潘多拉独角兽</x:v>
      </x:c>
      <x:c r="B41" s="27" t="str">
        <x:v>玲珑</x:v>
      </x:c>
      <x:c r="C41" s="27" t="str">
        <x:v>兰亭</x:v>
      </x:c>
      <x:c r="D41" s="27" t="str">
        <x:v>玲珑→兰亭</x:v>
      </x:c>
      <x:c r="E41" s="40" t="n">
        <x:v>7951949124</x:v>
      </x:c>
      <x:c r="F41" s="40" t="n">
        <x:v>113232915</x:v>
      </x:c>
      <x:c r="G41" s="40" t="n">
        <x:v>295064424</x:v>
      </x:c>
      <x:c r="H41" s="40" t="n">
        <x:v>4576</x:v>
      </x:c>
      <x:c r="I41" s="43" t="n">
        <x:v>84.05176275165644</x:v>
      </x:c>
      <x:c r="J41" s="27" t="str">
        <x:v>兰亭</x:v>
      </x:c>
      <x:c r="K41" s="27" t="str"/>
      <x:c r="L41" s="55" t="str">
        <x:v>补强一盟：总功勋、实力、战力及六维综合靠前</x:v>
      </x:c>
    </x:row>
    <x:row r="42" ht="20" customHeight="1">
      <x:c r="A42" s="26" t="str">
        <x:v>于将军</x:v>
      </x:c>
      <x:c r="B42" s="27" t="str">
        <x:v>玲珑</x:v>
      </x:c>
      <x:c r="C42" s="27" t="str">
        <x:v>兰亭</x:v>
      </x:c>
      <x:c r="D42" s="27" t="str">
        <x:v>玲珑→兰亭</x:v>
      </x:c>
      <x:c r="E42" s="40" t="n">
        <x:v>8369975628</x:v>
      </x:c>
      <x:c r="F42" s="40" t="n">
        <x:v>101215175</x:v>
      </x:c>
      <x:c r="G42" s="40" t="n">
        <x:v>342598022</x:v>
      </x:c>
      <x:c r="H42" s="40" t="n">
        <x:v>5028</x:v>
      </x:c>
      <x:c r="I42" s="43" t="n">
        <x:v>83.12652683433235</x:v>
      </x:c>
      <x:c r="J42" s="27" t="str">
        <x:v>兰亭</x:v>
      </x:c>
      <x:c r="K42" s="27" t="str">
        <x:v>兰亭</x:v>
      </x:c>
      <x:c r="L42" s="55" t="str">
        <x:v>补强一盟：总功勋、实力、战力及六维综合靠前</x:v>
      </x:c>
    </x:row>
    <x:row r="43" ht="20" customHeight="1">
      <x:c r="A43" s="26" t="str">
        <x:v>小老弟</x:v>
      </x:c>
      <x:c r="B43" s="27" t="str">
        <x:v>玲珑</x:v>
      </x:c>
      <x:c r="C43" s="27" t="str">
        <x:v>兰亭</x:v>
      </x:c>
      <x:c r="D43" s="27" t="str">
        <x:v>玲珑→兰亭</x:v>
      </x:c>
      <x:c r="E43" s="40" t="n">
        <x:v>5935394034</x:v>
      </x:c>
      <x:c r="F43" s="40" t="n">
        <x:v>100893712</x:v>
      </x:c>
      <x:c r="G43" s="40" t="n">
        <x:v>372031563</x:v>
      </x:c>
      <x:c r="H43" s="40" t="n">
        <x:v>4645</x:v>
      </x:c>
      <x:c r="I43" s="43" t="n">
        <x:v>82.71595641758695</x:v>
      </x:c>
      <x:c r="J43" s="27" t="str">
        <x:v>兰亭</x:v>
      </x:c>
      <x:c r="K43" s="27" t="str"/>
      <x:c r="L43" s="55" t="str">
        <x:v>补强一盟：总功勋、实力、战力及六维综合靠前</x:v>
      </x:c>
    </x:row>
    <x:row r="44" ht="20" customHeight="1">
      <x:c r="A44" s="26" t="str">
        <x:v>很安心</x:v>
      </x:c>
      <x:c r="B44" s="27" t="str">
        <x:v>玲珑</x:v>
      </x:c>
      <x:c r="C44" s="27" t="str">
        <x:v>兰亭</x:v>
      </x:c>
      <x:c r="D44" s="27" t="str">
        <x:v>玲珑→兰亭</x:v>
      </x:c>
      <x:c r="E44" s="40" t="n">
        <x:v>4290017388</x:v>
      </x:c>
      <x:c r="F44" s="40" t="n">
        <x:v>100149729</x:v>
      </x:c>
      <x:c r="G44" s="40" t="n">
        <x:v>365318817</x:v>
      </x:c>
      <x:c r="H44" s="40" t="n">
        <x:v>5025</x:v>
      </x:c>
      <x:c r="I44" s="43" t="n">
        <x:v>82.36580168009706</x:v>
      </x:c>
      <x:c r="J44" s="27" t="str">
        <x:v>兰亭</x:v>
      </x:c>
      <x:c r="K44" s="27" t="str">
        <x:v>兰亭</x:v>
      </x:c>
      <x:c r="L44" s="55" t="str">
        <x:v>补强一盟：总功勋、实力、战力及六维综合靠前</x:v>
      </x:c>
    </x:row>
    <x:row r="45" ht="20" customHeight="1">
      <x:c r="A45" s="26" t="str">
        <x:v>当当当</x:v>
      </x:c>
      <x:c r="B45" s="27" t="str">
        <x:v>玲珑</x:v>
      </x:c>
      <x:c r="C45" s="27" t="str">
        <x:v>兰亭</x:v>
      </x:c>
      <x:c r="D45" s="27" t="str">
        <x:v>玲珑→兰亭</x:v>
      </x:c>
      <x:c r="E45" s="40" t="n">
        <x:v>2022142936</x:v>
      </x:c>
      <x:c r="F45" s="40" t="n">
        <x:v>98990313</x:v>
      </x:c>
      <x:c r="G45" s="40" t="n">
        <x:v>389110363</x:v>
      </x:c>
      <x:c r="H45" s="40" t="n">
        <x:v>4374</x:v>
      </x:c>
      <x:c r="I45" s="43" t="n">
        <x:v>80.45616745293088</x:v>
      </x:c>
      <x:c r="J45" s="27" t="str">
        <x:v>兰亭</x:v>
      </x:c>
      <x:c r="K45" s="27" t="str">
        <x:v>兰亭</x:v>
      </x:c>
      <x:c r="L45" s="55" t="str">
        <x:v>补强一盟：总功勋、实力、战力及六维综合靠前</x:v>
      </x:c>
    </x:row>
    <x:row r="46" ht="20" customHeight="1">
      <x:c r="A46" s="26" t="str">
        <x:v>笨牛儿</x:v>
      </x:c>
      <x:c r="B46" s="27" t="str">
        <x:v>玲珑</x:v>
      </x:c>
      <x:c r="C46" s="27" t="str">
        <x:v>兰亭</x:v>
      </x:c>
      <x:c r="D46" s="27" t="str">
        <x:v>玲珑→兰亭</x:v>
      </x:c>
      <x:c r="E46" s="40" t="n">
        <x:v>2224178508</x:v>
      </x:c>
      <x:c r="F46" s="40" t="n">
        <x:v>94122680</x:v>
      </x:c>
      <x:c r="G46" s="40" t="n">
        <x:v>397210703</x:v>
      </x:c>
      <x:c r="H46" s="40" t="n">
        <x:v>4447</x:v>
      </x:c>
      <x:c r="I46" s="43" t="n">
        <x:v>79.71131666621865</x:v>
      </x:c>
      <x:c r="J46" s="27" t="str">
        <x:v>兰亭</x:v>
      </x:c>
      <x:c r="K46" s="27" t="str">
        <x:v>兰亭</x:v>
      </x:c>
      <x:c r="L46" s="55" t="str">
        <x:v>补强一盟：总功勋、实力、战力及六维综合靠前</x:v>
      </x:c>
    </x:row>
    <x:row r="47" ht="20" customHeight="1">
      <x:c r="A47" s="26" t="str">
        <x:v>谢烟客</x:v>
      </x:c>
      <x:c r="B47" s="27" t="str">
        <x:v>燕云</x:v>
      </x:c>
      <x:c r="C47" s="27" t="str">
        <x:v>兰亭</x:v>
      </x:c>
      <x:c r="D47" s="27" t="str">
        <x:v>燕云→兰亭</x:v>
      </x:c>
      <x:c r="E47" s="40" t="n">
        <x:v>4604815704</x:v>
      </x:c>
      <x:c r="F47" s="40" t="n">
        <x:v>127860824</x:v>
      </x:c>
      <x:c r="G47" s="40" t="n">
        <x:v>371144202</x:v>
      </x:c>
      <x:c r="H47" s="40" t="n">
        <x:v>5584</x:v>
      </x:c>
      <x:c r="I47" s="43" t="n">
        <x:v>90.69425468424724</x:v>
      </x:c>
      <x:c r="J47" s="27" t="str">
        <x:v>兰亭</x:v>
      </x:c>
      <x:c r="K47" s="27" t="str">
        <x:v>兰亭</x:v>
      </x:c>
      <x:c r="L47" s="55" t="str">
        <x:v>补强一盟：总功勋、实力、战力及六维综合靠前</x:v>
      </x:c>
    </x:row>
    <x:row r="48" ht="20" customHeight="1">
      <x:c r="A48" s="26" t="str">
        <x:v>大寒空空</x:v>
      </x:c>
      <x:c r="B48" s="27" t="str">
        <x:v>燕云</x:v>
      </x:c>
      <x:c r="C48" s="27" t="str">
        <x:v>兰亭</x:v>
      </x:c>
      <x:c r="D48" s="27" t="str">
        <x:v>燕云→兰亭</x:v>
      </x:c>
      <x:c r="E48" s="40" t="n">
        <x:v>12229399950</x:v>
      </x:c>
      <x:c r="F48" s="40" t="n">
        <x:v>119496319</x:v>
      </x:c>
      <x:c r="G48" s="40" t="n">
        <x:v>280019475</x:v>
      </x:c>
      <x:c r="H48" s="40" t="n">
        <x:v>5657</x:v>
      </x:c>
      <x:c r="I48" s="43" t="n">
        <x:v>87.6574788157024</x:v>
      </x:c>
      <x:c r="J48" s="27" t="str">
        <x:v>兰亭</x:v>
      </x:c>
      <x:c r="K48" s="27" t="str">
        <x:v>兰亭</x:v>
      </x:c>
      <x:c r="L48" s="55" t="str">
        <x:v>补强一盟：总功勋、实力、战力及六维综合靠前</x:v>
      </x:c>
    </x:row>
    <x:row r="49" ht="20" customHeight="1">
      <x:c r="A49" s="26" t="str">
        <x:v>我佛慈悲</x:v>
      </x:c>
      <x:c r="B49" s="27" t="str">
        <x:v>燕云</x:v>
      </x:c>
      <x:c r="C49" s="27" t="str">
        <x:v>兰亭</x:v>
      </x:c>
      <x:c r="D49" s="27" t="str">
        <x:v>燕云→兰亭</x:v>
      </x:c>
      <x:c r="E49" s="40" t="n">
        <x:v>3714862802</x:v>
      </x:c>
      <x:c r="F49" s="40" t="n">
        <x:v>126851230</x:v>
      </x:c>
      <x:c r="G49" s="40" t="n">
        <x:v>273430708</x:v>
      </x:c>
      <x:c r="H49" s="40"/>
      <x:c r="I49" s="43" t="n">
        <x:v>87.20914637430457</x:v>
      </x:c>
      <x:c r="J49" s="27"/>
      <x:c r="K49" s="27" t="str">
        <x:v>兰亭</x:v>
      </x:c>
      <x:c r="L49" s="55" t="str">
        <x:v>补强一盟：总功勋、实力、战力及六维综合靠前</x:v>
      </x:c>
    </x:row>
    <x:row r="50" ht="20" customHeight="1">
      <x:c r="A50" s="26" t="str">
        <x:v>爱哭鬼鬼</x:v>
      </x:c>
      <x:c r="B50" s="27" t="str">
        <x:v>燕云</x:v>
      </x:c>
      <x:c r="C50" s="27" t="str">
        <x:v>兰亭</x:v>
      </x:c>
      <x:c r="D50" s="27" t="str">
        <x:v>燕云→兰亭</x:v>
      </x:c>
      <x:c r="E50" s="40" t="n">
        <x:v>9076788698</x:v>
      </x:c>
      <x:c r="F50" s="40" t="n">
        <x:v>89149671</x:v>
      </x:c>
      <x:c r="G50" s="40" t="n">
        <x:v>366693391</x:v>
      </x:c>
      <x:c r="H50" s="40" t="n">
        <x:v>4403</x:v>
      </x:c>
      <x:c r="I50" s="43" t="n">
        <x:v>79.87297969908579</x:v>
      </x:c>
      <x:c r="J50" s="27" t="str">
        <x:v>兰亭</x:v>
      </x:c>
      <x:c r="K50" s="27" t="str">
        <x:v>兰亭</x:v>
      </x:c>
      <x:c r="L50" s="55" t="str">
        <x:v>补强一盟：总功勋、实力、战力及六维综合靠前</x:v>
      </x:c>
    </x:row>
    <x:row r="51" ht="20" customHeight="1">
      <x:c r="A51" s="29" t="str">
        <x:v>哥哥请发财</x:v>
      </x:c>
      <x:c r="B51" s="30" t="str">
        <x:v>燕云</x:v>
      </x:c>
      <x:c r="C51" s="30" t="str">
        <x:v>兰亭</x:v>
      </x:c>
      <x:c r="D51" s="30" t="str">
        <x:v>燕云→兰亭</x:v>
      </x:c>
      <x:c r="E51" s="41" t="n">
        <x:v>5199556170</x:v>
      </x:c>
      <x:c r="F51" s="41" t="n">
        <x:v>98945076</x:v>
      </x:c>
      <x:c r="G51" s="41" t="n">
        <x:v>295615130</x:v>
      </x:c>
      <x:c r="H51" s="41" t="n">
        <x:v>4653</x:v>
      </x:c>
      <x:c r="I51" s="44" t="n">
        <x:v>79.76740955660094</x:v>
      </x:c>
      <x:c r="J51" s="30" t="str">
        <x:v>兰亭</x:v>
      </x:c>
      <x:c r="K51" s="30" t="str">
        <x:v>兰亭</x:v>
      </x:c>
      <x:c r="L51" s="56" t="str">
        <x:v>补强一盟：总功勋、实力、战力及六维综合靠前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6457ae9b3e449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1" hidden="0" customWidth="1"/>
    <x:col min="8" max="8" width="11" hidden="0" customWidth="1"/>
    <x:col min="9" max="9" width="40" hidden="0" customWidth="1"/>
    <x:col min="10" max="10" width="55" hidden="0" customWidth="1"/>
  </x:cols>
  <x:sheetData>
    <x:row r="1" ht="30" customHeight="1">
      <x:c r="A1" s="3" t="str">
        <x:v>候补与待确认｜3人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1" customHeight="1">
      <x:c r="A2" s="7" t="str">
        <x:v>四盟按97人配置后超出3人；优先核实是否为小号、低活跃或可安排至其他区盟。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3" t="str">
        <x:v>成员名称</x:v>
      </x:c>
      <x:c r="B4" s="13" t="str">
        <x:v>当前盟</x:v>
      </x:c>
      <x:c r="C4" s="13" t="str">
        <x:v>总功勋</x:v>
      </x:c>
      <x:c r="D4" s="13" t="str">
        <x:v>实力</x:v>
      </x:c>
      <x:c r="E4" s="13" t="str">
        <x:v>战力</x:v>
      </x:c>
      <x:c r="F4" s="13" t="str">
        <x:v>火炉等级</x:v>
      </x:c>
      <x:c r="G4" s="13" t="str">
        <x:v>六维和</x:v>
      </x:c>
      <x:c r="H4" s="13" t="str">
        <x:v>战斗评分</x:v>
      </x:c>
      <x:c r="I4" s="13" t="str">
        <x:v>候补原因</x:v>
      </x:c>
      <x:c r="J4" s="13" t="str">
        <x:v>建议</x:v>
      </x:c>
    </x:row>
    <x:row r="5" ht="20" customHeight="1">
      <x:c r="A5" s="23" t="str">
        <x:v>主公9367155954965</x:v>
      </x:c>
      <x:c r="B5" s="24" t="str">
        <x:v>燕云</x:v>
      </x:c>
      <x:c r="C5" s="39" t="n">
        <x:v>0</x:v>
      </x:c>
      <x:c r="D5" s="39" t="n">
        <x:v>377749</x:v>
      </x:c>
      <x:c r="E5" s="39" t="n">
        <x:v>377809</x:v>
      </x:c>
      <x:c r="F5" s="39" t="str">
        <x:v>9</x:v>
      </x:c>
      <x:c r="G5" s="39"/>
      <x:c r="H5" s="42" t="n">
        <x:v>0.12075924921689922</x:v>
      </x:c>
      <x:c r="I5" s="33" t="str">
        <x:v>低功勋/低实力，建议作为候补、小号或另行安置</x:v>
      </x:c>
      <x:c r="J5" s="54" t="str">
        <x:v>先核对活跃度；如必须全部保留，则任一盟扩至98人或新增临时盟位</x:v>
      </x:c>
    </x:row>
    <x:row r="6" ht="20" customHeight="1">
      <x:c r="A6" s="26" t="str">
        <x:v>主公973155818945</x:v>
      </x:c>
      <x:c r="B6" s="27" t="str">
        <x:v>燕云</x:v>
      </x:c>
      <x:c r="C6" s="40" t="n">
        <x:v>0</x:v>
      </x:c>
      <x:c r="D6" s="40" t="n">
        <x:v>300896</x:v>
      </x:c>
      <x:c r="E6" s="40" t="n">
        <x:v>301491</x:v>
      </x:c>
      <x:c r="F6" s="40" t="str">
        <x:v>8</x:v>
      </x:c>
      <x:c r="G6" s="40"/>
      <x:c r="H6" s="43" t="n">
        <x:v>0.09620853993153289</x:v>
      </x:c>
      <x:c r="I6" s="34" t="str">
        <x:v>低功勋/低实力，建议作为候补、小号或另行安置</x:v>
      </x:c>
      <x:c r="J6" s="55" t="str">
        <x:v>先核对活跃度；如必须全部保留，则任一盟扩至98人或新增临时盟位</x:v>
      </x:c>
    </x:row>
    <x:row r="7" ht="20" customHeight="1">
      <x:c r="A7" s="29" t="str">
        <x:v>橙橙逸</x:v>
      </x:c>
      <x:c r="B7" s="30" t="str">
        <x:v>燕云</x:v>
      </x:c>
      <x:c r="C7" s="41" t="n">
        <x:v>0</x:v>
      </x:c>
      <x:c r="D7" s="41" t="n">
        <x:v>233920</x:v>
      </x:c>
      <x:c r="E7" s="41" t="n">
        <x:v>234160</x:v>
      </x:c>
      <x:c r="F7" s="41" t="str">
        <x:v>9</x:v>
      </x:c>
      <x:c r="G7" s="41"/>
      <x:c r="H7" s="44" t="n">
        <x:v>0.07478640301831223</x:v>
      </x:c>
      <x:c r="I7" s="35" t="str">
        <x:v>低功勋/低实力，建议作为候补、小号或另行安置</x:v>
      </x:c>
      <x:c r="J7" s="56" t="str">
        <x:v>先核对活跃度；如必须全部保留，则任一盟扩至98人或新增临时盟位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80" hidden="0" customWidth="1"/>
    <x:col min="4" max="4" width="10" hidden="0" customWidth="1"/>
    <x:col min="5" max="5" width="32" hidden="0" customWidth="1"/>
    <x:col min="6" max="6" width="35" hidden="0" customWidth="1"/>
  </x:cols>
  <x:sheetData>
    <x:row r="1" ht="30" customHeight="1">
      <x:c r="A1" s="3" t="str">
        <x:v>迁盟执行顺序与操作意见</x:v>
      </x:c>
      <x:c r="B1" s="3"/>
      <x:c r="C1" s="3"/>
      <x:c r="D1" s="3"/>
      <x:c r="E1" s="3"/>
      <x:c r="F1" s="3"/>
    </x:row>
    <x:row r="2" ht="31" customHeight="1">
      <x:c r="A2" s="7" t="str">
        <x:v>建议按批次执行并在每批结束后核对人数；先释放位置，再迁入战斗主盟。</x:v>
      </x:c>
      <x:c r="B2" s="7"/>
      <x:c r="C2" s="7"/>
      <x:c r="D2" s="7"/>
      <x:c r="E2" s="7"/>
      <x:c r="F2" s="7"/>
    </x:row>
    <x:row r="4" ht="32" customHeight="1">
      <x:c r="A4" s="13" t="str">
        <x:v>批次</x:v>
      </x:c>
      <x:c r="B4" s="13" t="str">
        <x:v>动作</x:v>
      </x:c>
      <x:c r="C4" s="13" t="str">
        <x:v>涉及人员</x:v>
      </x:c>
      <x:c r="D4" s="13" t="str">
        <x:v>人数</x:v>
      </x:c>
      <x:c r="E4" s="13" t="str">
        <x:v>完成条件</x:v>
      </x:c>
      <x:c r="F4" s="13" t="str">
        <x:v>风险提示</x:v>
      </x:c>
    </x:row>
    <x:row r="5" ht="20" customHeight="1">
      <x:c r="A5" s="23" t="n">
        <x:v>1</x:v>
      </x:c>
      <x:c r="B5" s="24" t="str">
        <x:v>确认候补</x:v>
      </x:c>
      <x:c r="C5" s="33" t="str">
        <x:v>主公9367155954965、主公973155818945、橙橙逸</x:v>
      </x:c>
      <x:c r="D5" s="24" t="n">
        <x:v>3</x:v>
      </x:c>
      <x:c r="E5" s="33" t="str">
        <x:v>确认小号/低活跃安置方式</x:v>
      </x:c>
      <x:c r="F5" s="54" t="str">
        <x:v>未确认前不要直接清退</x:v>
      </x:c>
    </x:row>
    <x:row r="6" ht="20" customHeight="1">
      <x:c r="A6" s="26" t="n">
        <x:v>2</x:v>
      </x:c>
      <x:c r="B6" s="27" t="str">
        <x:v>花晨→兰亭</x:v>
      </x:c>
      <x:c r="C6" s="34" t="str">
        <x:v>霸道大叔孟鹤堂、九幽睡不醒、莫问丶、喵喵睡不着、不是泥、治好了也留口水</x:v>
      </x:c>
      <x:c r="D6" s="27" t="n">
        <x:v>6</x:v>
      </x:c>
      <x:c r="E6" s="34" t="str">
        <x:v>目标盟迁入后不超过97人</x:v>
      </x:c>
      <x:c r="F6" s="55" t="str">
        <x:v>优先按战斗排名执行</x:v>
      </x:c>
    </x:row>
    <x:row r="7" ht="20" customHeight="1">
      <x:c r="A7" s="26" t="n">
        <x:v>3</x:v>
      </x:c>
      <x:c r="B7" s="27" t="str">
        <x:v>兰亭→花晨</x:v>
      </x:c>
      <x:c r="C7" s="34" t="str">
        <x:v>汉武大帝、追梦者、涿郡屠户</x:v>
      </x:c>
      <x:c r="D7" s="27" t="n">
        <x:v>3</x:v>
      </x:c>
      <x:c r="E7" s="34" t="str">
        <x:v>目标盟迁入后不超过97人</x:v>
      </x:c>
      <x:c r="F7" s="55" t="str">
        <x:v>与反向迁移同步，避免临时满员</x:v>
      </x:c>
    </x:row>
    <x:row r="8" ht="20" customHeight="1">
      <x:c r="A8" s="26" t="n">
        <x:v>4</x:v>
      </x:c>
      <x:c r="B8" s="27" t="str">
        <x:v>兰亭→玲珑</x:v>
      </x:c>
      <x:c r="C8" s="34" t="str">
        <x:v>醉开心、大哥的小弟、王者农药、轻风飘雨、统一全球、小马同学、过关斩将、莽二哥、笑笑大王、三维碾压</x:v>
      </x:c>
      <x:c r="D8" s="27" t="n">
        <x:v>10</x:v>
      </x:c>
      <x:c r="E8" s="34" t="str">
        <x:v>目标盟迁入后不超过97人</x:v>
      </x:c>
      <x:c r="F8" s="55" t="str">
        <x:v>与反向迁移同步，避免临时满员</x:v>
      </x:c>
    </x:row>
    <x:row r="9" ht="20" customHeight="1">
      <x:c r="A9" s="26" t="n">
        <x:v>5</x:v>
      </x:c>
      <x:c r="B9" s="27" t="str">
        <x:v>兰亭→燕云</x:v>
      </x:c>
      <x:c r="C9" s="34" t="str">
        <x:v>一帆风顺、一身反骨的棉花、石鼓名山、不败的战神、一粒沙尘、多多苗、专注种地、蓝天白云、乔伊斯、李莫愁、叫老公、没想过</x:v>
      </x:c>
      <x:c r="D9" s="27" t="n">
        <x:v>12</x:v>
      </x:c>
      <x:c r="E9" s="34" t="str">
        <x:v>目标盟迁入后不超过97人</x:v>
      </x:c>
      <x:c r="F9" s="55" t="str">
        <x:v>与反向迁移同步，避免临时满员</x:v>
      </x:c>
    </x:row>
    <x:row r="10" ht="20" customHeight="1">
      <x:c r="A10" s="26" t="n">
        <x:v>6</x:v>
      </x:c>
      <x:c r="B10" s="27" t="str">
        <x:v>玲珑→兰亭</x:v>
      </x:c>
      <x:c r="C10" s="34" t="str">
        <x:v>小王丶、小太子奶、月溅星河、蓝天予你、充电宝、潘多拉独角兽、于将军、小老弟、很安心、当当当、笨牛儿</x:v>
      </x:c>
      <x:c r="D10" s="27" t="n">
        <x:v>11</x:v>
      </x:c>
      <x:c r="E10" s="34" t="str">
        <x:v>目标盟迁入后不超过97人</x:v>
      </x:c>
      <x:c r="F10" s="55" t="str">
        <x:v>优先按战斗排名执行</x:v>
      </x:c>
    </x:row>
    <x:row r="11" ht="20" customHeight="1">
      <x:c r="A11" s="26" t="n">
        <x:v>7</x:v>
      </x:c>
      <x:c r="B11" s="27" t="str">
        <x:v>燕云→兰亭</x:v>
      </x:c>
      <x:c r="C11" s="34" t="str">
        <x:v>谢烟客、大寒空空、我佛慈悲、爱哭鬼鬼、哥哥请发财</x:v>
      </x:c>
      <x:c r="D11" s="27" t="n">
        <x:v>5</x:v>
      </x:c>
      <x:c r="E11" s="34" t="str">
        <x:v>目标盟迁入后不超过97人</x:v>
      </x:c>
      <x:c r="F11" s="55" t="str">
        <x:v>优先按战斗排名执行</x:v>
      </x:c>
    </x:row>
    <x:row r="12" ht="20" customHeight="1">
      <x:c r="A12" s="29" t="n">
        <x:v>8</x:v>
      </x:c>
      <x:c r="B12" s="30" t="str">
        <x:v>最终复核</x:v>
      </x:c>
      <x:c r="C12" s="35" t="str">
        <x:v>四盟全员</x:v>
      </x:c>
      <x:c r="D12" s="30" t="n">
        <x:v>388</x:v>
      </x:c>
      <x:c r="E12" s="35" t="str">
        <x:v>兰亭/花晨/玲珑/燕云各97人</x:v>
      </x:c>
      <x:c r="F12" s="56" t="str">
        <x:v>核对同名、改名和临时离盟人员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01011787c2f4c6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22" hidden="0" customWidth="1"/>
    <x:col min="5" max="5" width="11" hidden="0" customWidth="1"/>
    <x:col min="6" max="6" width="16" hidden="0" customWidth="1"/>
    <x:col min="7" max="7" width="30" hidden="0" customWidth="1"/>
  </x:cols>
  <x:sheetData>
    <x:row r="1" ht="30" customHeight="1">
      <x:c r="A1" s="3" t="str">
        <x:v>数据匹配与质量说明</x:v>
      </x:c>
      <x:c r="B1" s="3"/>
      <x:c r="C1" s="3"/>
      <x:c r="D1" s="3"/>
      <x:c r="E1" s="3"/>
      <x:c r="F1" s="3"/>
      <x:c r="G1" s="3"/>
    </x:row>
    <x:row r="2" ht="31" customHeight="1">
      <x:c r="A2" s="7" t="str">
        <x:v>列出没有匹配六维或发生名称对应的成员；六维缺失不会阻止分配，但战斗评分会按其余指标重新加权。</x:v>
      </x:c>
      <x:c r="B2" s="7"/>
      <x:c r="C2" s="7"/>
      <x:c r="D2" s="7"/>
      <x:c r="E2" s="7"/>
      <x:c r="F2" s="7"/>
      <x:c r="G2" s="7"/>
    </x:row>
    <x:row r="4" ht="32" customHeight="1">
      <x:c r="A4" s="13" t="str">
        <x:v>成员名称</x:v>
      </x:c>
      <x:c r="B4" s="13" t="str">
        <x:v>当前盟</x:v>
      </x:c>
      <x:c r="C4" s="13" t="str">
        <x:v>匹配状态</x:v>
      </x:c>
      <x:c r="D4" s="13" t="str">
        <x:v>对应调查名</x:v>
      </x:c>
      <x:c r="E4" s="13" t="str">
        <x:v>六维和</x:v>
      </x:c>
      <x:c r="F4" s="13" t="str">
        <x:v>旧表建议</x:v>
      </x:c>
      <x:c r="G4" s="13" t="str">
        <x:v>备注</x:v>
      </x:c>
    </x:row>
    <x:row r="5" ht="20" customHeight="1">
      <x:c r="A5" s="23" t="str">
        <x:v>厌世小蘑菇</x:v>
      </x:c>
      <x:c r="B5" s="24" t="str">
        <x:v>花晨</x:v>
      </x:c>
      <x:c r="C5" s="24" t="str">
        <x:v>六维未匹配</x:v>
      </x:c>
      <x:c r="D5" s="24"/>
      <x:c r="E5" s="39"/>
      <x:c r="F5" s="24" t="str">
        <x:v>花晨</x:v>
      </x:c>
      <x:c r="G5" s="54" t="str">
        <x:v>六维未匹配</x:v>
      </x:c>
    </x:row>
    <x:row r="6" ht="20" customHeight="1">
      <x:c r="A6" s="26" t="str">
        <x:v>竹间客卿</x:v>
      </x:c>
      <x:c r="B6" s="27" t="str">
        <x:v>花晨</x:v>
      </x:c>
      <x:c r="C6" s="27" t="str">
        <x:v>六维未匹配</x:v>
      </x:c>
      <x:c r="D6" s="27"/>
      <x:c r="E6" s="40"/>
      <x:c r="F6" s="27" t="str"/>
      <x:c r="G6" s="55" t="str">
        <x:v>六维未匹配</x:v>
      </x:c>
    </x:row>
    <x:row r="7" ht="20" customHeight="1">
      <x:c r="A7" s="26" t="str">
        <x:v>可爱仔</x:v>
      </x:c>
      <x:c r="B7" s="27" t="str">
        <x:v>花晨</x:v>
      </x:c>
      <x:c r="C7" s="27" t="str">
        <x:v>六维未匹配</x:v>
      </x:c>
      <x:c r="D7" s="27"/>
      <x:c r="E7" s="40"/>
      <x:c r="F7" s="27" t="str">
        <x:v>花晨</x:v>
      </x:c>
      <x:c r="G7" s="55" t="str">
        <x:v>六维未匹配</x:v>
      </x:c>
    </x:row>
    <x:row r="8" ht="20" customHeight="1">
      <x:c r="A8" s="26" t="str">
        <x:v>摆烂小伙呀</x:v>
      </x:c>
      <x:c r="B8" s="27" t="str">
        <x:v>花晨</x:v>
      </x:c>
      <x:c r="C8" s="27" t="str">
        <x:v>六维未匹配</x:v>
      </x:c>
      <x:c r="D8" s="27"/>
      <x:c r="E8" s="40"/>
      <x:c r="F8" s="27" t="str"/>
      <x:c r="G8" s="55" t="str">
        <x:v>六维未匹配</x:v>
      </x:c>
    </x:row>
    <x:row r="9" ht="20" customHeight="1">
      <x:c r="A9" s="26" t="str">
        <x:v>风清云</x:v>
      </x:c>
      <x:c r="B9" s="27" t="str">
        <x:v>花晨</x:v>
      </x:c>
      <x:c r="C9" s="27" t="str">
        <x:v>六维未匹配</x:v>
      </x:c>
      <x:c r="D9" s="27"/>
      <x:c r="E9" s="40"/>
      <x:c r="F9" s="27" t="str">
        <x:v>花晨</x:v>
      </x:c>
      <x:c r="G9" s="55" t="str">
        <x:v>六维未匹配</x:v>
      </x:c>
    </x:row>
    <x:row r="10" ht="20" customHeight="1">
      <x:c r="A10" s="26" t="str">
        <x:v>完不利罗</x:v>
      </x:c>
      <x:c r="B10" s="27" t="str">
        <x:v>花晨</x:v>
      </x:c>
      <x:c r="C10" s="27" t="str">
        <x:v>六维未匹配</x:v>
      </x:c>
      <x:c r="D10" s="27"/>
      <x:c r="E10" s="40"/>
      <x:c r="F10" s="27" t="str">
        <x:v>燕云</x:v>
      </x:c>
      <x:c r="G10" s="55" t="str">
        <x:v>六维未匹配</x:v>
      </x:c>
    </x:row>
    <x:row r="11" ht="20" customHeight="1">
      <x:c r="A11" s="26" t="str">
        <x:v>弄啥嘞</x:v>
      </x:c>
      <x:c r="B11" s="27" t="str">
        <x:v>花晨</x:v>
      </x:c>
      <x:c r="C11" s="27" t="str">
        <x:v>六维未匹配</x:v>
      </x:c>
      <x:c r="D11" s="27"/>
      <x:c r="E11" s="40"/>
      <x:c r="F11" s="27" t="str">
        <x:v>花晨</x:v>
      </x:c>
      <x:c r="G11" s="55" t="str">
        <x:v>六维未匹配</x:v>
      </x:c>
    </x:row>
    <x:row r="12" ht="20" customHeight="1">
      <x:c r="A12" s="26" t="str">
        <x:v>曾经少年</x:v>
      </x:c>
      <x:c r="B12" s="27" t="str">
        <x:v>花晨</x:v>
      </x:c>
      <x:c r="C12" s="27" t="str">
        <x:v>六维未匹配</x:v>
      </x:c>
      <x:c r="D12" s="27"/>
      <x:c r="E12" s="40"/>
      <x:c r="F12" s="27" t="str">
        <x:v>燕云</x:v>
      </x:c>
      <x:c r="G12" s="55" t="str">
        <x:v>六维未匹配</x:v>
      </x:c>
    </x:row>
    <x:row r="13" ht="20" customHeight="1">
      <x:c r="A13" s="26" t="str">
        <x:v>悦悦的小屋</x:v>
      </x:c>
      <x:c r="B13" s="27" t="str">
        <x:v>花晨</x:v>
      </x:c>
      <x:c r="C13" s="27" t="str">
        <x:v>六维未匹配</x:v>
      </x:c>
      <x:c r="D13" s="27"/>
      <x:c r="E13" s="40"/>
      <x:c r="F13" s="27" t="str"/>
      <x:c r="G13" s="55" t="str">
        <x:v>六维未匹配</x:v>
      </x:c>
    </x:row>
    <x:row r="14" ht="20" customHeight="1">
      <x:c r="A14" s="26" t="str">
        <x:v>灬人间散尽温柔灬</x:v>
      </x:c>
      <x:c r="B14" s="27" t="str">
        <x:v>花晨</x:v>
      </x:c>
      <x:c r="C14" s="27" t="str">
        <x:v>六维未匹配</x:v>
      </x:c>
      <x:c r="D14" s="27"/>
      <x:c r="E14" s="40"/>
      <x:c r="F14" s="27" t="str"/>
      <x:c r="G14" s="55" t="str">
        <x:v>六维未匹配</x:v>
      </x:c>
    </x:row>
    <x:row r="15" ht="20" customHeight="1">
      <x:c r="A15" s="26" t="str">
        <x:v>长发渡温柔</x:v>
      </x:c>
      <x:c r="B15" s="27" t="str">
        <x:v>花晨</x:v>
      </x:c>
      <x:c r="C15" s="27" t="str">
        <x:v>六维未匹配</x:v>
      </x:c>
      <x:c r="D15" s="27"/>
      <x:c r="E15" s="40"/>
      <x:c r="F15" s="27" t="str">
        <x:v>花晨</x:v>
      </x:c>
      <x:c r="G15" s="55" t="str">
        <x:v>六维未匹配</x:v>
      </x:c>
    </x:row>
    <x:row r="16" ht="20" customHeight="1">
      <x:c r="A16" s="26" t="str">
        <x:v>歪歪歪</x:v>
      </x:c>
      <x:c r="B16" s="27" t="str">
        <x:v>花晨</x:v>
      </x:c>
      <x:c r="C16" s="27" t="str">
        <x:v>六维未匹配</x:v>
      </x:c>
      <x:c r="D16" s="27"/>
      <x:c r="E16" s="40"/>
      <x:c r="F16" s="27" t="str">
        <x:v>花晨</x:v>
      </x:c>
      <x:c r="G16" s="55" t="str">
        <x:v>六维未匹配</x:v>
      </x:c>
    </x:row>
    <x:row r="17" ht="20" customHeight="1">
      <x:c r="A17" s="26" t="str">
        <x:v>罗周周</x:v>
      </x:c>
      <x:c r="B17" s="27" t="str">
        <x:v>花晨</x:v>
      </x:c>
      <x:c r="C17" s="27" t="str">
        <x:v>六维未匹配</x:v>
      </x:c>
      <x:c r="D17" s="27"/>
      <x:c r="E17" s="40"/>
      <x:c r="F17" s="27" t="str">
        <x:v>花晨</x:v>
      </x:c>
      <x:c r="G17" s="55" t="str">
        <x:v>六维未匹配</x:v>
      </x:c>
    </x:row>
    <x:row r="18" ht="20" customHeight="1">
      <x:c r="A18" s="26" t="str">
        <x:v>心存晴朗</x:v>
      </x:c>
      <x:c r="B18" s="27" t="str">
        <x:v>花晨</x:v>
      </x:c>
      <x:c r="C18" s="27" t="str">
        <x:v>六维未匹配</x:v>
      </x:c>
      <x:c r="D18" s="27"/>
      <x:c r="E18" s="40"/>
      <x:c r="F18" s="27" t="str">
        <x:v>燕云</x:v>
      </x:c>
      <x:c r="G18" s="55" t="str">
        <x:v>六维未匹配</x:v>
      </x:c>
    </x:row>
    <x:row r="19" ht="20" customHeight="1">
      <x:c r="A19" s="26" t="str">
        <x:v>青云山</x:v>
      </x:c>
      <x:c r="B19" s="27" t="str">
        <x:v>花晨</x:v>
      </x:c>
      <x:c r="C19" s="27" t="str">
        <x:v>六维未匹配</x:v>
      </x:c>
      <x:c r="D19" s="27"/>
      <x:c r="E19" s="40"/>
      <x:c r="F19" s="27" t="str">
        <x:v>燕云</x:v>
      </x:c>
      <x:c r="G19" s="55" t="str">
        <x:v>六维未匹配</x:v>
      </x:c>
    </x:row>
    <x:row r="20" ht="20" customHeight="1">
      <x:c r="A20" s="26" t="str">
        <x:v>缺啥来啥</x:v>
      </x:c>
      <x:c r="B20" s="27" t="str">
        <x:v>花晨</x:v>
      </x:c>
      <x:c r="C20" s="27" t="str">
        <x:v>六维未匹配</x:v>
      </x:c>
      <x:c r="D20" s="27"/>
      <x:c r="E20" s="40"/>
      <x:c r="F20" s="27" t="str">
        <x:v>燕云</x:v>
      </x:c>
      <x:c r="G20" s="55" t="str">
        <x:v>六维未匹配</x:v>
      </x:c>
    </x:row>
    <x:row r="21" ht="20" customHeight="1">
      <x:c r="A21" s="26" t="str">
        <x:v>小鸡炖小弟</x:v>
      </x:c>
      <x:c r="B21" s="27" t="str">
        <x:v>花晨</x:v>
      </x:c>
      <x:c r="C21" s="27" t="str">
        <x:v>六维未匹配</x:v>
      </x:c>
      <x:c r="D21" s="27"/>
      <x:c r="E21" s="40"/>
      <x:c r="F21" s="27" t="str">
        <x:v>花晨</x:v>
      </x:c>
      <x:c r="G21" s="55" t="str">
        <x:v>六维未匹配</x:v>
      </x:c>
    </x:row>
    <x:row r="22" ht="20" customHeight="1">
      <x:c r="A22" s="26" t="str">
        <x:v>零陵上将军邢道荣</x:v>
      </x:c>
      <x:c r="B22" s="27" t="str">
        <x:v>花晨</x:v>
      </x:c>
      <x:c r="C22" s="27" t="str">
        <x:v>六维未匹配</x:v>
      </x:c>
      <x:c r="D22" s="27"/>
      <x:c r="E22" s="40"/>
      <x:c r="F22" s="27" t="str">
        <x:v>花晨</x:v>
      </x:c>
      <x:c r="G22" s="55" t="str">
        <x:v>六维未匹配</x:v>
      </x:c>
    </x:row>
    <x:row r="23" ht="20" customHeight="1">
      <x:c r="A23" s="26" t="str">
        <x:v>月下煮奶茶</x:v>
      </x:c>
      <x:c r="B23" s="27" t="str">
        <x:v>花晨</x:v>
      </x:c>
      <x:c r="C23" s="27" t="str">
        <x:v>六维未匹配</x:v>
      </x:c>
      <x:c r="D23" s="27"/>
      <x:c r="E23" s="40"/>
      <x:c r="F23" s="27" t="str">
        <x:v>花晨</x:v>
      </x:c>
      <x:c r="G23" s="55" t="str">
        <x:v>六维未匹配</x:v>
      </x:c>
    </x:row>
    <x:row r="24" ht="20" customHeight="1">
      <x:c r="A24" s="26" t="str">
        <x:v>枫树湾</x:v>
      </x:c>
      <x:c r="B24" s="27" t="str">
        <x:v>花晨</x:v>
      </x:c>
      <x:c r="C24" s="27" t="str">
        <x:v>六维未匹配</x:v>
      </x:c>
      <x:c r="D24" s="27"/>
      <x:c r="E24" s="40"/>
      <x:c r="F24" s="27" t="str">
        <x:v>花晨</x:v>
      </x:c>
      <x:c r="G24" s="55" t="str">
        <x:v>六维未匹配</x:v>
      </x:c>
    </x:row>
    <x:row r="25" ht="20" customHeight="1">
      <x:c r="A25" s="26" t="str">
        <x:v>小石头</x:v>
      </x:c>
      <x:c r="B25" s="27" t="str">
        <x:v>花晨</x:v>
      </x:c>
      <x:c r="C25" s="27" t="str">
        <x:v>六维未匹配</x:v>
      </x:c>
      <x:c r="D25" s="27"/>
      <x:c r="E25" s="40"/>
      <x:c r="F25" s="27" t="str">
        <x:v>花晨</x:v>
      </x:c>
      <x:c r="G25" s="55" t="str">
        <x:v>六维未匹配</x:v>
      </x:c>
    </x:row>
    <x:row r="26" ht="20" customHeight="1">
      <x:c r="A26" s="26" t="str">
        <x:v>妮心心</x:v>
      </x:c>
      <x:c r="B26" s="27" t="str">
        <x:v>花晨</x:v>
      </x:c>
      <x:c r="C26" s="27" t="str">
        <x:v>六维未匹配</x:v>
      </x:c>
      <x:c r="D26" s="27"/>
      <x:c r="E26" s="40"/>
      <x:c r="F26" s="27" t="str">
        <x:v>花晨</x:v>
      </x:c>
      <x:c r="G26" s="55" t="str">
        <x:v>六维未匹配</x:v>
      </x:c>
    </x:row>
    <x:row r="27" ht="20" customHeight="1">
      <x:c r="A27" s="26" t="str">
        <x:v>算无遗策</x:v>
      </x:c>
      <x:c r="B27" s="27" t="str">
        <x:v>花晨</x:v>
      </x:c>
      <x:c r="C27" s="27" t="str">
        <x:v>六维未匹配</x:v>
      </x:c>
      <x:c r="D27" s="27"/>
      <x:c r="E27" s="40"/>
      <x:c r="F27" s="27" t="str">
        <x:v>花晨</x:v>
      </x:c>
      <x:c r="G27" s="55" t="str">
        <x:v>六维未匹配</x:v>
      </x:c>
    </x:row>
    <x:row r="28" ht="20" customHeight="1">
      <x:c r="A28" s="26" t="str">
        <x:v>随缘一生</x:v>
      </x:c>
      <x:c r="B28" s="27" t="str">
        <x:v>花晨</x:v>
      </x:c>
      <x:c r="C28" s="27" t="str">
        <x:v>六维未匹配</x:v>
      </x:c>
      <x:c r="D28" s="27"/>
      <x:c r="E28" s="40"/>
      <x:c r="F28" s="27" t="str">
        <x:v>玲珑</x:v>
      </x:c>
      <x:c r="G28" s="55" t="str">
        <x:v>六维未匹配</x:v>
      </x:c>
    </x:row>
    <x:row r="29" ht="20" customHeight="1">
      <x:c r="A29" s="26" t="str">
        <x:v>经常冷冰冰</x:v>
      </x:c>
      <x:c r="B29" s="27" t="str">
        <x:v>花晨</x:v>
      </x:c>
      <x:c r="C29" s="27" t="str">
        <x:v>六维未匹配</x:v>
      </x:c>
      <x:c r="D29" s="27"/>
      <x:c r="E29" s="40"/>
      <x:c r="F29" s="27" t="str"/>
      <x:c r="G29" s="55" t="str">
        <x:v>六维未匹配</x:v>
      </x:c>
    </x:row>
    <x:row r="30" ht="20" customHeight="1">
      <x:c r="A30" s="26" t="str">
        <x:v>阿波池得</x:v>
      </x:c>
      <x:c r="B30" s="27" t="str">
        <x:v>花晨</x:v>
      </x:c>
      <x:c r="C30" s="27" t="str">
        <x:v>六维未匹配</x:v>
      </x:c>
      <x:c r="D30" s="27"/>
      <x:c r="E30" s="40"/>
      <x:c r="F30" s="27" t="str">
        <x:v>花晨</x:v>
      </x:c>
      <x:c r="G30" s="55" t="str">
        <x:v>六维未匹配</x:v>
      </x:c>
    </x:row>
    <x:row r="31" ht="20" customHeight="1">
      <x:c r="A31" s="26" t="str">
        <x:v>白杆杆</x:v>
      </x:c>
      <x:c r="B31" s="27" t="str">
        <x:v>花晨</x:v>
      </x:c>
      <x:c r="C31" s="27" t="str">
        <x:v>六维未匹配</x:v>
      </x:c>
      <x:c r="D31" s="27"/>
      <x:c r="E31" s="40"/>
      <x:c r="F31" s="27" t="str">
        <x:v>花晨</x:v>
      </x:c>
      <x:c r="G31" s="55" t="str">
        <x:v>六维未匹配</x:v>
      </x:c>
    </x:row>
    <x:row r="32" ht="20" customHeight="1">
      <x:c r="A32" s="26" t="str">
        <x:v>大裤衩子</x:v>
      </x:c>
      <x:c r="B32" s="27" t="str">
        <x:v>花晨</x:v>
      </x:c>
      <x:c r="C32" s="27" t="str">
        <x:v>六维未匹配</x:v>
      </x:c>
      <x:c r="D32" s="27"/>
      <x:c r="E32" s="40"/>
      <x:c r="F32" s="27" t="str">
        <x:v>花晨</x:v>
      </x:c>
      <x:c r="G32" s="55" t="str">
        <x:v>六维未匹配</x:v>
      </x:c>
    </x:row>
    <x:row r="33" ht="20" customHeight="1">
      <x:c r="A33" s="26" t="str">
        <x:v>无名英雄</x:v>
      </x:c>
      <x:c r="B33" s="27" t="str">
        <x:v>花晨</x:v>
      </x:c>
      <x:c r="C33" s="27" t="str">
        <x:v>六维未匹配</x:v>
      </x:c>
      <x:c r="D33" s="27"/>
      <x:c r="E33" s="40"/>
      <x:c r="F33" s="27" t="str">
        <x:v>花晨</x:v>
      </x:c>
      <x:c r="G33" s="55" t="str">
        <x:v>六维未匹配</x:v>
      </x:c>
    </x:row>
    <x:row r="34" ht="20" customHeight="1">
      <x:c r="A34" s="26" t="str">
        <x:v>月亮山的喵喵</x:v>
      </x:c>
      <x:c r="B34" s="27" t="str">
        <x:v>花晨</x:v>
      </x:c>
      <x:c r="C34" s="27" t="str">
        <x:v>六维未匹配</x:v>
      </x:c>
      <x:c r="D34" s="27"/>
      <x:c r="E34" s="40"/>
      <x:c r="F34" s="27" t="str">
        <x:v>燕云</x:v>
      </x:c>
      <x:c r="G34" s="55" t="str">
        <x:v>六维未匹配</x:v>
      </x:c>
    </x:row>
    <x:row r="35" ht="20" customHeight="1">
      <x:c r="A35" s="26" t="str">
        <x:v>勇者归来</x:v>
      </x:c>
      <x:c r="B35" s="27" t="str">
        <x:v>花晨</x:v>
      </x:c>
      <x:c r="C35" s="27" t="str">
        <x:v>六维未匹配</x:v>
      </x:c>
      <x:c r="D35" s="27"/>
      <x:c r="E35" s="40"/>
      <x:c r="F35" s="27" t="str">
        <x:v>燕云</x:v>
      </x:c>
      <x:c r="G35" s="55" t="str">
        <x:v>六维未匹配</x:v>
      </x:c>
    </x:row>
    <x:row r="36" ht="20" customHeight="1">
      <x:c r="A36" s="26" t="str">
        <x:v>梦求真</x:v>
      </x:c>
      <x:c r="B36" s="27" t="str">
        <x:v>花晨</x:v>
      </x:c>
      <x:c r="C36" s="27" t="str">
        <x:v>六维未匹配</x:v>
      </x:c>
      <x:c r="D36" s="27"/>
      <x:c r="E36" s="40"/>
      <x:c r="F36" s="27" t="str">
        <x:v>玲珑</x:v>
      </x:c>
      <x:c r="G36" s="55" t="str">
        <x:v>六维未匹配</x:v>
      </x:c>
    </x:row>
    <x:row r="37" ht="20" customHeight="1">
      <x:c r="A37" s="26" t="str">
        <x:v>春秋之王</x:v>
      </x:c>
      <x:c r="B37" s="27" t="str">
        <x:v>花晨</x:v>
      </x:c>
      <x:c r="C37" s="27" t="str">
        <x:v>六维未匹配</x:v>
      </x:c>
      <x:c r="D37" s="27"/>
      <x:c r="E37" s="40"/>
      <x:c r="F37" s="27" t="str">
        <x:v>花晨</x:v>
      </x:c>
      <x:c r="G37" s="55" t="str">
        <x:v>六维未匹配</x:v>
      </x:c>
    </x:row>
    <x:row r="38" ht="20" customHeight="1">
      <x:c r="A38" s="26" t="str">
        <x:v>骑行者</x:v>
      </x:c>
      <x:c r="B38" s="27" t="str">
        <x:v>花晨</x:v>
      </x:c>
      <x:c r="C38" s="27" t="str">
        <x:v>六维未匹配</x:v>
      </x:c>
      <x:c r="D38" s="27"/>
      <x:c r="E38" s="40"/>
      <x:c r="F38" s="27" t="str">
        <x:v>燕云</x:v>
      </x:c>
      <x:c r="G38" s="55" t="str">
        <x:v>六维未匹配</x:v>
      </x:c>
    </x:row>
    <x:row r="39" ht="20" customHeight="1">
      <x:c r="A39" s="26" t="str">
        <x:v>春机盎然</x:v>
      </x:c>
      <x:c r="B39" s="27" t="str">
        <x:v>花晨</x:v>
      </x:c>
      <x:c r="C39" s="27" t="str">
        <x:v>六维未匹配</x:v>
      </x:c>
      <x:c r="D39" s="27"/>
      <x:c r="E39" s="40"/>
      <x:c r="F39" s="27" t="str">
        <x:v>燕云</x:v>
      </x:c>
      <x:c r="G39" s="55" t="str">
        <x:v>六维未匹配</x:v>
      </x:c>
    </x:row>
    <x:row r="40" ht="20" customHeight="1">
      <x:c r="A40" s="26" t="str">
        <x:v>粉扑扑</x:v>
      </x:c>
      <x:c r="B40" s="27" t="str">
        <x:v>花晨</x:v>
      </x:c>
      <x:c r="C40" s="27" t="str">
        <x:v>六维未匹配</x:v>
      </x:c>
      <x:c r="D40" s="27"/>
      <x:c r="E40" s="40"/>
      <x:c r="F40" s="27" t="str">
        <x:v>花晨</x:v>
      </x:c>
      <x:c r="G40" s="55" t="str">
        <x:v>六维未匹配</x:v>
      </x:c>
    </x:row>
    <x:row r="41" ht="20" customHeight="1">
      <x:c r="A41" s="26" t="str">
        <x:v>蓝天予你</x:v>
      </x:c>
      <x:c r="B41" s="27" t="str">
        <x:v>玲珑</x:v>
      </x:c>
      <x:c r="C41" s="27" t="str">
        <x:v>六维未匹配</x:v>
      </x:c>
      <x:c r="D41" s="27"/>
      <x:c r="E41" s="40"/>
      <x:c r="F41" s="27" t="str"/>
      <x:c r="G41" s="55" t="str">
        <x:v>六维未匹配</x:v>
      </x:c>
    </x:row>
    <x:row r="42" ht="20" customHeight="1">
      <x:c r="A42" s="26" t="str">
        <x:v>那年十八</x:v>
      </x:c>
      <x:c r="B42" s="27" t="str">
        <x:v>玲珑</x:v>
      </x:c>
      <x:c r="C42" s="27" t="str">
        <x:v>六维未匹配</x:v>
      </x:c>
      <x:c r="D42" s="27"/>
      <x:c r="E42" s="40"/>
      <x:c r="F42" s="27" t="str"/>
      <x:c r="G42" s="55" t="str">
        <x:v>六维未匹配</x:v>
      </x:c>
    </x:row>
    <x:row r="43" ht="20" customHeight="1">
      <x:c r="A43" s="26" t="str">
        <x:v>白莲花</x:v>
      </x:c>
      <x:c r="B43" s="27" t="str">
        <x:v>玲珑</x:v>
      </x:c>
      <x:c r="C43" s="27" t="str">
        <x:v>六维未匹配</x:v>
      </x:c>
      <x:c r="D43" s="27"/>
      <x:c r="E43" s="40"/>
      <x:c r="F43" s="27" t="str"/>
      <x:c r="G43" s="55" t="str">
        <x:v>六维未匹配</x:v>
      </x:c>
    </x:row>
    <x:row r="44" ht="20" customHeight="1">
      <x:c r="A44" s="26" t="str">
        <x:v>东二批</x:v>
      </x:c>
      <x:c r="B44" s="27" t="str">
        <x:v>玲珑</x:v>
      </x:c>
      <x:c r="C44" s="27" t="str">
        <x:v>六维未匹配</x:v>
      </x:c>
      <x:c r="D44" s="27"/>
      <x:c r="E44" s="40"/>
      <x:c r="F44" s="27" t="str"/>
      <x:c r="G44" s="55" t="str">
        <x:v>六维未匹配</x:v>
      </x:c>
    </x:row>
    <x:row r="45" ht="20" customHeight="1">
      <x:c r="A45" s="26" t="str">
        <x:v>唐宋元明清</x:v>
      </x:c>
      <x:c r="B45" s="27" t="str">
        <x:v>玲珑</x:v>
      </x:c>
      <x:c r="C45" s="27" t="str">
        <x:v>六维未匹配</x:v>
      </x:c>
      <x:c r="D45" s="27"/>
      <x:c r="E45" s="40"/>
      <x:c r="F45" s="27" t="str"/>
      <x:c r="G45" s="55" t="str">
        <x:v>六维未匹配</x:v>
      </x:c>
    </x:row>
    <x:row r="46" ht="20" customHeight="1">
      <x:c r="A46" s="26" t="str">
        <x:v>孤独的风</x:v>
      </x:c>
      <x:c r="B46" s="27" t="str">
        <x:v>玲珑</x:v>
      </x:c>
      <x:c r="C46" s="27" t="str">
        <x:v>六维未匹配</x:v>
      </x:c>
      <x:c r="D46" s="27"/>
      <x:c r="E46" s="40"/>
      <x:c r="F46" s="27" t="str"/>
      <x:c r="G46" s="55" t="str">
        <x:v>六维未匹配</x:v>
      </x:c>
    </x:row>
    <x:row r="47" ht="20" customHeight="1">
      <x:c r="A47" s="26" t="str">
        <x:v>蓝天予我</x:v>
      </x:c>
      <x:c r="B47" s="27" t="str">
        <x:v>玲珑</x:v>
      </x:c>
      <x:c r="C47" s="27" t="str">
        <x:v>六维未匹配</x:v>
      </x:c>
      <x:c r="D47" s="27"/>
      <x:c r="E47" s="40"/>
      <x:c r="F47" s="27" t="str"/>
      <x:c r="G47" s="55" t="str">
        <x:v>六维未匹配</x:v>
      </x:c>
    </x:row>
    <x:row r="48" ht="20" customHeight="1">
      <x:c r="A48" s="26" t="str">
        <x:v>周公瑾</x:v>
      </x:c>
      <x:c r="B48" s="27" t="str">
        <x:v>玲珑</x:v>
      </x:c>
      <x:c r="C48" s="27" t="str">
        <x:v>六维未匹配</x:v>
      </x:c>
      <x:c r="D48" s="27"/>
      <x:c r="E48" s="40"/>
      <x:c r="F48" s="27" t="str"/>
      <x:c r="G48" s="55" t="str">
        <x:v>六维未匹配</x:v>
      </x:c>
    </x:row>
    <x:row r="49" ht="20" customHeight="1">
      <x:c r="A49" s="26" t="str">
        <x:v>咳咳咳</x:v>
      </x:c>
      <x:c r="B49" s="27" t="str">
        <x:v>玲珑</x:v>
      </x:c>
      <x:c r="C49" s="27" t="str">
        <x:v>六维未匹配</x:v>
      </x:c>
      <x:c r="D49" s="27"/>
      <x:c r="E49" s="40"/>
      <x:c r="F49" s="27" t="str"/>
      <x:c r="G49" s="55" t="str">
        <x:v>六维未匹配</x:v>
      </x:c>
    </x:row>
    <x:row r="50" ht="20" customHeight="1">
      <x:c r="A50" s="26" t="str">
        <x:v>挨刀阿倩倩</x:v>
      </x:c>
      <x:c r="B50" s="27" t="str">
        <x:v>玲珑</x:v>
      </x:c>
      <x:c r="C50" s="27" t="str">
        <x:v>六维未匹配</x:v>
      </x:c>
      <x:c r="D50" s="27"/>
      <x:c r="E50" s="40"/>
      <x:c r="F50" s="27" t="str"/>
      <x:c r="G50" s="55" t="str">
        <x:v>六维未匹配</x:v>
      </x:c>
    </x:row>
    <x:row r="51" ht="20" customHeight="1">
      <x:c r="A51" s="26" t="str">
        <x:v>好啊好啊</x:v>
      </x:c>
      <x:c r="B51" s="27" t="str">
        <x:v>玲珑</x:v>
      </x:c>
      <x:c r="C51" s="27" t="str">
        <x:v>六维未匹配</x:v>
      </x:c>
      <x:c r="D51" s="27"/>
      <x:c r="E51" s="40"/>
      <x:c r="F51" s="27" t="str"/>
      <x:c r="G51" s="55" t="str">
        <x:v>六维未匹配</x:v>
      </x:c>
    </x:row>
    <x:row r="52" ht="20" customHeight="1">
      <x:c r="A52" s="26" t="str">
        <x:v>巴国布衣</x:v>
      </x:c>
      <x:c r="B52" s="27" t="str">
        <x:v>玲珑</x:v>
      </x:c>
      <x:c r="C52" s="27" t="str">
        <x:v>六维未匹配</x:v>
      </x:c>
      <x:c r="D52" s="27"/>
      <x:c r="E52" s="40"/>
      <x:c r="F52" s="27" t="str"/>
      <x:c r="G52" s="55" t="str">
        <x:v>六维未匹配</x:v>
      </x:c>
    </x:row>
    <x:row r="53" ht="20" customHeight="1">
      <x:c r="A53" s="26" t="str">
        <x:v>清风明月似故人</x:v>
      </x:c>
      <x:c r="B53" s="27" t="str">
        <x:v>玲珑</x:v>
      </x:c>
      <x:c r="C53" s="27" t="str">
        <x:v>六维未匹配</x:v>
      </x:c>
      <x:c r="D53" s="27"/>
      <x:c r="E53" s="40"/>
      <x:c r="F53" s="27" t="str"/>
      <x:c r="G53" s="55" t="str">
        <x:v>六维未匹配</x:v>
      </x:c>
    </x:row>
    <x:row r="54" ht="20" customHeight="1">
      <x:c r="A54" s="26" t="str">
        <x:v>取名为依</x:v>
      </x:c>
      <x:c r="B54" s="27" t="str">
        <x:v>玲珑</x:v>
      </x:c>
      <x:c r="C54" s="27" t="str">
        <x:v>六维未匹配</x:v>
      </x:c>
      <x:c r="D54" s="27"/>
      <x:c r="E54" s="40"/>
      <x:c r="F54" s="27" t="str"/>
      <x:c r="G54" s="55" t="str">
        <x:v>六维未匹配</x:v>
      </x:c>
    </x:row>
    <x:row r="55" ht="20" customHeight="1">
      <x:c r="A55" s="26" t="str">
        <x:v>念倾心</x:v>
      </x:c>
      <x:c r="B55" s="27" t="str">
        <x:v>玲珑</x:v>
      </x:c>
      <x:c r="C55" s="27" t="str">
        <x:v>六维未匹配</x:v>
      </x:c>
      <x:c r="D55" s="27"/>
      <x:c r="E55" s="40"/>
      <x:c r="F55" s="27" t="str"/>
      <x:c r="G55" s="55" t="str">
        <x:v>六维未匹配</x:v>
      </x:c>
    </x:row>
    <x:row r="56" ht="20" customHeight="1">
      <x:c r="A56" s="26" t="str">
        <x:v>龙门鱼</x:v>
      </x:c>
      <x:c r="B56" s="27" t="str">
        <x:v>玲珑</x:v>
      </x:c>
      <x:c r="C56" s="27" t="str">
        <x:v>六维未匹配</x:v>
      </x:c>
      <x:c r="D56" s="27"/>
      <x:c r="E56" s="40"/>
      <x:c r="F56" s="27" t="str"/>
      <x:c r="G56" s="55" t="str">
        <x:v>六维未匹配</x:v>
      </x:c>
    </x:row>
    <x:row r="57" ht="20" customHeight="1">
      <x:c r="A57" s="26" t="str">
        <x:v>哦豁达</x:v>
      </x:c>
      <x:c r="B57" s="27" t="str">
        <x:v>玲珑</x:v>
      </x:c>
      <x:c r="C57" s="27" t="str">
        <x:v>六维未匹配</x:v>
      </x:c>
      <x:c r="D57" s="27"/>
      <x:c r="E57" s="40"/>
      <x:c r="F57" s="27" t="str"/>
      <x:c r="G57" s="55" t="str">
        <x:v>六维未匹配</x:v>
      </x:c>
    </x:row>
    <x:row r="58" ht="20" customHeight="1">
      <x:c r="A58" s="26" t="str">
        <x:v>光屁股的腚</x:v>
      </x:c>
      <x:c r="B58" s="27" t="str">
        <x:v>玲珑</x:v>
      </x:c>
      <x:c r="C58" s="27" t="str">
        <x:v>六维未匹配</x:v>
      </x:c>
      <x:c r="D58" s="27"/>
      <x:c r="E58" s="40"/>
      <x:c r="F58" s="27" t="str"/>
      <x:c r="G58" s="55" t="str">
        <x:v>六维未匹配</x:v>
      </x:c>
    </x:row>
    <x:row r="59" ht="20" customHeight="1">
      <x:c r="A59" s="26" t="str">
        <x:v>水淼木森</x:v>
      </x:c>
      <x:c r="B59" s="27" t="str">
        <x:v>玲珑</x:v>
      </x:c>
      <x:c r="C59" s="27" t="str">
        <x:v>六维未匹配</x:v>
      </x:c>
      <x:c r="D59" s="27"/>
      <x:c r="E59" s="40"/>
      <x:c r="F59" s="27" t="str"/>
      <x:c r="G59" s="55" t="str">
        <x:v>六维未匹配</x:v>
      </x:c>
    </x:row>
    <x:row r="60" ht="20" customHeight="1">
      <x:c r="A60" s="26" t="str">
        <x:v>赵琳琳</x:v>
      </x:c>
      <x:c r="B60" s="27" t="str">
        <x:v>玲珑</x:v>
      </x:c>
      <x:c r="C60" s="27" t="str">
        <x:v>六维未匹配</x:v>
      </x:c>
      <x:c r="D60" s="27"/>
      <x:c r="E60" s="40"/>
      <x:c r="F60" s="27" t="str"/>
      <x:c r="G60" s="55" t="str">
        <x:v>六维未匹配</x:v>
      </x:c>
    </x:row>
    <x:row r="61" ht="20" customHeight="1">
      <x:c r="A61" s="26" t="str">
        <x:v>拐奕粥瑶</x:v>
      </x:c>
      <x:c r="B61" s="27" t="str">
        <x:v>玲珑</x:v>
      </x:c>
      <x:c r="C61" s="27" t="str">
        <x:v>六维未匹配</x:v>
      </x:c>
      <x:c r="D61" s="27"/>
      <x:c r="E61" s="40"/>
      <x:c r="F61" s="27" t="str"/>
      <x:c r="G61" s="55" t="str">
        <x:v>六维未匹配</x:v>
      </x:c>
    </x:row>
    <x:row r="62" ht="20" customHeight="1">
      <x:c r="A62" s="26" t="str">
        <x:v>阳光阳光</x:v>
      </x:c>
      <x:c r="B62" s="27" t="str">
        <x:v>玲珑</x:v>
      </x:c>
      <x:c r="C62" s="27" t="str">
        <x:v>六维未匹配</x:v>
      </x:c>
      <x:c r="D62" s="27"/>
      <x:c r="E62" s="40"/>
      <x:c r="F62" s="27" t="str"/>
      <x:c r="G62" s="55" t="str">
        <x:v>六维未匹配</x:v>
      </x:c>
    </x:row>
    <x:row r="63" ht="20" customHeight="1">
      <x:c r="A63" s="26" t="str">
        <x:v>喵胖胖3号</x:v>
      </x:c>
      <x:c r="B63" s="27" t="str">
        <x:v>玲珑</x:v>
      </x:c>
      <x:c r="C63" s="27" t="str">
        <x:v>六维未匹配</x:v>
      </x:c>
      <x:c r="D63" s="27"/>
      <x:c r="E63" s="40"/>
      <x:c r="F63" s="27" t="str"/>
      <x:c r="G63" s="55" t="str">
        <x:v>六维未匹配</x:v>
      </x:c>
    </x:row>
    <x:row r="64" ht="20" customHeight="1">
      <x:c r="A64" s="26" t="str">
        <x:v>随缘就好</x:v>
      </x:c>
      <x:c r="B64" s="27" t="str">
        <x:v>玲珑</x:v>
      </x:c>
      <x:c r="C64" s="27" t="str">
        <x:v>六维未匹配</x:v>
      </x:c>
      <x:c r="D64" s="27"/>
      <x:c r="E64" s="40"/>
      <x:c r="F64" s="27" t="str"/>
      <x:c r="G64" s="55" t="str">
        <x:v>六维未匹配</x:v>
      </x:c>
    </x:row>
    <x:row r="65" ht="20" customHeight="1">
      <x:c r="A65" s="26" t="str">
        <x:v>肥嘟嘟左卫门</x:v>
      </x:c>
      <x:c r="B65" s="27" t="str">
        <x:v>玲珑</x:v>
      </x:c>
      <x:c r="C65" s="27" t="str">
        <x:v>六维未匹配</x:v>
      </x:c>
      <x:c r="D65" s="27"/>
      <x:c r="E65" s="40"/>
      <x:c r="F65" s="27" t="str"/>
      <x:c r="G65" s="55" t="str">
        <x:v>六维未匹配</x:v>
      </x:c>
    </x:row>
    <x:row r="66" ht="20" customHeight="1">
      <x:c r="A66" s="26" t="str">
        <x:v>云颠之间</x:v>
      </x:c>
      <x:c r="B66" s="27" t="str">
        <x:v>玲珑</x:v>
      </x:c>
      <x:c r="C66" s="27" t="str">
        <x:v>六维未匹配</x:v>
      </x:c>
      <x:c r="D66" s="27"/>
      <x:c r="E66" s="40"/>
      <x:c r="F66" s="27" t="str"/>
      <x:c r="G66" s="55" t="str">
        <x:v>六维未匹配</x:v>
      </x:c>
    </x:row>
    <x:row r="67" ht="20" customHeight="1">
      <x:c r="A67" s="26" t="str">
        <x:v>天官赐福小雪雪</x:v>
      </x:c>
      <x:c r="B67" s="27" t="str">
        <x:v>玲珑</x:v>
      </x:c>
      <x:c r="C67" s="27" t="str">
        <x:v>六维未匹配</x:v>
      </x:c>
      <x:c r="D67" s="27"/>
      <x:c r="E67" s="40"/>
      <x:c r="F67" s="27" t="str"/>
      <x:c r="G67" s="55" t="str">
        <x:v>六维未匹配</x:v>
      </x:c>
    </x:row>
    <x:row r="68" ht="20" customHeight="1">
      <x:c r="A68" s="26" t="str">
        <x:v>小米粒</x:v>
      </x:c>
      <x:c r="B68" s="27" t="str">
        <x:v>玲珑</x:v>
      </x:c>
      <x:c r="C68" s="27" t="str">
        <x:v>六维未匹配</x:v>
      </x:c>
      <x:c r="D68" s="27"/>
      <x:c r="E68" s="40"/>
      <x:c r="F68" s="27" t="str"/>
      <x:c r="G68" s="55" t="str">
        <x:v>六维未匹配</x:v>
      </x:c>
    </x:row>
    <x:row r="69" ht="20" customHeight="1">
      <x:c r="A69" s="26" t="str">
        <x:v>王者看天下</x:v>
      </x:c>
      <x:c r="B69" s="27" t="str">
        <x:v>玲珑</x:v>
      </x:c>
      <x:c r="C69" s="27" t="str">
        <x:v>六维未匹配</x:v>
      </x:c>
      <x:c r="D69" s="27"/>
      <x:c r="E69" s="40"/>
      <x:c r="F69" s="27" t="str"/>
      <x:c r="G69" s="55" t="str">
        <x:v>六维未匹配</x:v>
      </x:c>
    </x:row>
    <x:row r="70" ht="20" customHeight="1">
      <x:c r="A70" s="26" t="str">
        <x:v>吃几个馍</x:v>
      </x:c>
      <x:c r="B70" s="27" t="str">
        <x:v>玲珑</x:v>
      </x:c>
      <x:c r="C70" s="27" t="str">
        <x:v>六维未匹配</x:v>
      </x:c>
      <x:c r="D70" s="27"/>
      <x:c r="E70" s="40"/>
      <x:c r="F70" s="27" t="str"/>
      <x:c r="G70" s="55" t="str">
        <x:v>六维未匹配</x:v>
      </x:c>
    </x:row>
    <x:row r="71" ht="20" customHeight="1">
      <x:c r="A71" s="26" t="str">
        <x:v>羽扇纶巾痞子男</x:v>
      </x:c>
      <x:c r="B71" s="27" t="str">
        <x:v>玲珑</x:v>
      </x:c>
      <x:c r="C71" s="27" t="str">
        <x:v>六维未匹配</x:v>
      </x:c>
      <x:c r="D71" s="27"/>
      <x:c r="E71" s="40"/>
      <x:c r="F71" s="27" t="str"/>
      <x:c r="G71" s="55" t="str">
        <x:v>六维未匹配</x:v>
      </x:c>
    </x:row>
    <x:row r="72" ht="20" customHeight="1">
      <x:c r="A72" s="26" t="str">
        <x:v>月亮代表我的心</x:v>
      </x:c>
      <x:c r="B72" s="27" t="str">
        <x:v>玲珑</x:v>
      </x:c>
      <x:c r="C72" s="27" t="str">
        <x:v>六维未匹配</x:v>
      </x:c>
      <x:c r="D72" s="27"/>
      <x:c r="E72" s="40"/>
      <x:c r="F72" s="27" t="str"/>
      <x:c r="G72" s="55" t="str">
        <x:v>六维未匹配</x:v>
      </x:c>
    </x:row>
    <x:row r="73" ht="20" customHeight="1">
      <x:c r="A73" s="26" t="str">
        <x:v>今仙子</x:v>
      </x:c>
      <x:c r="B73" s="27" t="str">
        <x:v>玲珑</x:v>
      </x:c>
      <x:c r="C73" s="27" t="str">
        <x:v>六维未匹配</x:v>
      </x:c>
      <x:c r="D73" s="27"/>
      <x:c r="E73" s="40"/>
      <x:c r="F73" s="27" t="str"/>
      <x:c r="G73" s="55" t="str">
        <x:v>六维未匹配</x:v>
      </x:c>
    </x:row>
    <x:row r="74" ht="20" customHeight="1">
      <x:c r="A74" s="26" t="str">
        <x:v>人不老实话多</x:v>
      </x:c>
      <x:c r="B74" s="27" t="str">
        <x:v>玲珑</x:v>
      </x:c>
      <x:c r="C74" s="27" t="str">
        <x:v>六维未匹配</x:v>
      </x:c>
      <x:c r="D74" s="27"/>
      <x:c r="E74" s="40"/>
      <x:c r="F74" s="27" t="str"/>
      <x:c r="G74" s="55" t="str">
        <x:v>六维未匹配</x:v>
      </x:c>
    </x:row>
    <x:row r="75" ht="20" customHeight="1">
      <x:c r="A75" s="26" t="str">
        <x:v>赵子龙</x:v>
      </x:c>
      <x:c r="B75" s="27" t="str">
        <x:v>兰亭</x:v>
      </x:c>
      <x:c r="C75" s="27" t="str">
        <x:v>六维未匹配</x:v>
      </x:c>
      <x:c r="D75" s="27"/>
      <x:c r="E75" s="40"/>
      <x:c r="F75" s="27" t="str"/>
      <x:c r="G75" s="55" t="str">
        <x:v>六维未匹配</x:v>
      </x:c>
    </x:row>
    <x:row r="76" ht="20" customHeight="1">
      <x:c r="A76" s="26" t="str">
        <x:v>南城以梦归</x:v>
      </x:c>
      <x:c r="B76" s="27" t="str">
        <x:v>兰亭</x:v>
      </x:c>
      <x:c r="C76" s="27" t="str">
        <x:v>六维未匹配</x:v>
      </x:c>
      <x:c r="D76" s="27"/>
      <x:c r="E76" s="40"/>
      <x:c r="F76" s="27" t="str"/>
      <x:c r="G76" s="55" t="str">
        <x:v>六维未匹配</x:v>
      </x:c>
    </x:row>
    <x:row r="77" ht="20" customHeight="1">
      <x:c r="A77" s="26" t="str">
        <x:v>虎虎生威</x:v>
      </x:c>
      <x:c r="B77" s="27" t="str">
        <x:v>兰亭</x:v>
      </x:c>
      <x:c r="C77" s="27" t="str">
        <x:v>六维未匹配</x:v>
      </x:c>
      <x:c r="D77" s="27"/>
      <x:c r="E77" s="40"/>
      <x:c r="F77" s="27" t="str"/>
      <x:c r="G77" s="55" t="str">
        <x:v>六维未匹配</x:v>
      </x:c>
    </x:row>
    <x:row r="78" ht="20" customHeight="1">
      <x:c r="A78" s="26" t="str">
        <x:v>卡丨卡</x:v>
      </x:c>
      <x:c r="B78" s="27" t="str">
        <x:v>兰亭</x:v>
      </x:c>
      <x:c r="C78" s="27" t="str">
        <x:v>六维未匹配</x:v>
      </x:c>
      <x:c r="D78" s="27"/>
      <x:c r="E78" s="40"/>
      <x:c r="F78" s="27" t="str"/>
      <x:c r="G78" s="55" t="str">
        <x:v>六维未匹配</x:v>
      </x:c>
    </x:row>
    <x:row r="79" ht="20" customHeight="1">
      <x:c r="A79" s="26" t="str">
        <x:v>展彦笑</x:v>
      </x:c>
      <x:c r="B79" s="27" t="str">
        <x:v>兰亭</x:v>
      </x:c>
      <x:c r="C79" s="27" t="str">
        <x:v>六维未匹配</x:v>
      </x:c>
      <x:c r="D79" s="27"/>
      <x:c r="E79" s="40"/>
      <x:c r="F79" s="27" t="str">
        <x:v>花晨</x:v>
      </x:c>
      <x:c r="G79" s="55" t="str">
        <x:v>六维未匹配</x:v>
      </x:c>
    </x:row>
    <x:row r="80" ht="20" customHeight="1">
      <x:c r="A80" s="26" t="str">
        <x:v>灬人间灬</x:v>
      </x:c>
      <x:c r="B80" s="27" t="str">
        <x:v>兰亭</x:v>
      </x:c>
      <x:c r="C80" s="27" t="str">
        <x:v>六维未匹配</x:v>
      </x:c>
      <x:c r="D80" s="27"/>
      <x:c r="E80" s="40"/>
      <x:c r="F80" s="27" t="str">
        <x:v>花晨</x:v>
      </x:c>
      <x:c r="G80" s="55" t="str">
        <x:v>六维未匹配</x:v>
      </x:c>
    </x:row>
    <x:row r="81" ht="20" customHeight="1">
      <x:c r="A81" s="26" t="str">
        <x:v>成都奥园岑老师</x:v>
      </x:c>
      <x:c r="B81" s="27" t="str">
        <x:v>兰亭</x:v>
      </x:c>
      <x:c r="C81" s="27" t="str">
        <x:v>六维未匹配</x:v>
      </x:c>
      <x:c r="D81" s="27"/>
      <x:c r="E81" s="40"/>
      <x:c r="F81" s="27" t="str"/>
      <x:c r="G81" s="55" t="str">
        <x:v>六维未匹配</x:v>
      </x:c>
    </x:row>
    <x:row r="82" ht="20" customHeight="1">
      <x:c r="A82" s="26" t="str">
        <x:v>叫什么名字呢</x:v>
      </x:c>
      <x:c r="B82" s="27" t="str">
        <x:v>兰亭</x:v>
      </x:c>
      <x:c r="C82" s="27" t="str">
        <x:v>六维未匹配</x:v>
      </x:c>
      <x:c r="D82" s="27"/>
      <x:c r="E82" s="40"/>
      <x:c r="F82" s="27" t="str"/>
      <x:c r="G82" s="55" t="str">
        <x:v>六维未匹配</x:v>
      </x:c>
    </x:row>
    <x:row r="83" ht="20" customHeight="1">
      <x:c r="A83" s="26" t="str">
        <x:v>以澄666</x:v>
      </x:c>
      <x:c r="B83" s="27" t="str">
        <x:v>兰亭</x:v>
      </x:c>
      <x:c r="C83" s="27" t="str">
        <x:v>六维未匹配</x:v>
      </x:c>
      <x:c r="D83" s="27"/>
      <x:c r="E83" s="40"/>
      <x:c r="F83" s="27" t="str">
        <x:v>玲珑</x:v>
      </x:c>
      <x:c r="G83" s="55" t="str">
        <x:v>六维未匹配</x:v>
      </x:c>
    </x:row>
    <x:row r="84" ht="20" customHeight="1">
      <x:c r="A84" s="26" t="str">
        <x:v>我是谁123</x:v>
      </x:c>
      <x:c r="B84" s="27" t="str">
        <x:v>兰亭</x:v>
      </x:c>
      <x:c r="C84" s="27" t="str">
        <x:v>六维未匹配</x:v>
      </x:c>
      <x:c r="D84" s="27"/>
      <x:c r="E84" s="40"/>
      <x:c r="F84" s="27" t="str"/>
      <x:c r="G84" s="55" t="str">
        <x:v>六维未匹配</x:v>
      </x:c>
    </x:row>
    <x:row r="85" ht="20" customHeight="1">
      <x:c r="A85" s="26" t="str">
        <x:v>哈呀哈</x:v>
      </x:c>
      <x:c r="B85" s="27" t="str">
        <x:v>兰亭</x:v>
      </x:c>
      <x:c r="C85" s="27" t="str">
        <x:v>六维未匹配</x:v>
      </x:c>
      <x:c r="D85" s="27"/>
      <x:c r="E85" s="40"/>
      <x:c r="F85" s="27" t="str"/>
      <x:c r="G85" s="55" t="str">
        <x:v>六维未匹配</x:v>
      </x:c>
    </x:row>
    <x:row r="86" ht="20" customHeight="1">
      <x:c r="A86" s="26" t="str">
        <x:v>事后诸葛小坏蛋</x:v>
      </x:c>
      <x:c r="B86" s="27" t="str">
        <x:v>兰亭</x:v>
      </x:c>
      <x:c r="C86" s="27" t="str">
        <x:v>六维未匹配</x:v>
      </x:c>
      <x:c r="D86" s="27"/>
      <x:c r="E86" s="40"/>
      <x:c r="F86" s="27" t="str">
        <x:v>花晨</x:v>
      </x:c>
      <x:c r="G86" s="55" t="str">
        <x:v>六维未匹配</x:v>
      </x:c>
    </x:row>
    <x:row r="87" ht="20" customHeight="1">
      <x:c r="A87" s="26" t="str">
        <x:v>无忧城主</x:v>
      </x:c>
      <x:c r="B87" s="27" t="str">
        <x:v>兰亭</x:v>
      </x:c>
      <x:c r="C87" s="27" t="str">
        <x:v>六维未匹配</x:v>
      </x:c>
      <x:c r="D87" s="27"/>
      <x:c r="E87" s="40"/>
      <x:c r="F87" s="27" t="str"/>
      <x:c r="G87" s="55" t="str">
        <x:v>六维未匹配</x:v>
      </x:c>
    </x:row>
    <x:row r="88" ht="20" customHeight="1">
      <x:c r="A88" s="26" t="str">
        <x:v>将进才</x:v>
      </x:c>
      <x:c r="B88" s="27" t="str">
        <x:v>兰亭</x:v>
      </x:c>
      <x:c r="C88" s="27" t="str">
        <x:v>六维未匹配</x:v>
      </x:c>
      <x:c r="D88" s="27"/>
      <x:c r="E88" s="40"/>
      <x:c r="F88" s="27" t="str"/>
      <x:c r="G88" s="55" t="str">
        <x:v>六维未匹配</x:v>
      </x:c>
    </x:row>
    <x:row r="89" ht="20" customHeight="1">
      <x:c r="A89" s="26" t="str">
        <x:v>天下式</x:v>
      </x:c>
      <x:c r="B89" s="27" t="str">
        <x:v>兰亭</x:v>
      </x:c>
      <x:c r="C89" s="27" t="str">
        <x:v>六维未匹配</x:v>
      </x:c>
      <x:c r="D89" s="27"/>
      <x:c r="E89" s="40"/>
      <x:c r="F89" s="27" t="str"/>
      <x:c r="G89" s="55" t="str">
        <x:v>六维未匹配</x:v>
      </x:c>
    </x:row>
    <x:row r="90" ht="20" customHeight="1">
      <x:c r="A90" s="26" t="str">
        <x:v>咖啡不加奶</x:v>
      </x:c>
      <x:c r="B90" s="27" t="str">
        <x:v>兰亭</x:v>
      </x:c>
      <x:c r="C90" s="27" t="str">
        <x:v>六维未匹配</x:v>
      </x:c>
      <x:c r="D90" s="27"/>
      <x:c r="E90" s="40"/>
      <x:c r="F90" s="27" t="str">
        <x:v>玲珑</x:v>
      </x:c>
      <x:c r="G90" s="55" t="str">
        <x:v>六维未匹配</x:v>
      </x:c>
    </x:row>
    <x:row r="91" ht="20" customHeight="1">
      <x:c r="A91" s="26" t="str">
        <x:v>一帆风顺</x:v>
      </x:c>
      <x:c r="B91" s="27" t="str">
        <x:v>兰亭</x:v>
      </x:c>
      <x:c r="C91" s="27" t="str">
        <x:v>六维未匹配</x:v>
      </x:c>
      <x:c r="D91" s="27"/>
      <x:c r="E91" s="40"/>
      <x:c r="F91" s="27" t="str"/>
      <x:c r="G91" s="55" t="str">
        <x:v>六维未匹配</x:v>
      </x:c>
    </x:row>
    <x:row r="92" ht="20" customHeight="1">
      <x:c r="A92" s="26" t="str">
        <x:v>人间草木</x:v>
      </x:c>
      <x:c r="B92" s="27" t="str">
        <x:v>兰亭</x:v>
      </x:c>
      <x:c r="C92" s="27" t="str">
        <x:v>六维未匹配</x:v>
      </x:c>
      <x:c r="D92" s="27"/>
      <x:c r="E92" s="40"/>
      <x:c r="F92" s="27" t="str"/>
      <x:c r="G92" s="55" t="str">
        <x:v>六维未匹配</x:v>
      </x:c>
    </x:row>
    <x:row r="93" ht="20" customHeight="1">
      <x:c r="A93" s="26" t="str">
        <x:v>统一全球</x:v>
      </x:c>
      <x:c r="B93" s="27" t="str">
        <x:v>兰亭</x:v>
      </x:c>
      <x:c r="C93" s="27" t="str">
        <x:v>六维未匹配</x:v>
      </x:c>
      <x:c r="D93" s="27"/>
      <x:c r="E93" s="40"/>
      <x:c r="F93" s="27" t="str">
        <x:v>花晨</x:v>
      </x:c>
      <x:c r="G93" s="55" t="str">
        <x:v>六维未匹配</x:v>
      </x:c>
    </x:row>
    <x:row r="94" ht="20" customHeight="1">
      <x:c r="A94" s="26" t="str">
        <x:v>山咔咔</x:v>
      </x:c>
      <x:c r="B94" s="27" t="str">
        <x:v>兰亭</x:v>
      </x:c>
      <x:c r="C94" s="27" t="str">
        <x:v>六维未匹配</x:v>
      </x:c>
      <x:c r="D94" s="27"/>
      <x:c r="E94" s="40"/>
      <x:c r="F94" s="27" t="str"/>
      <x:c r="G94" s="55" t="str">
        <x:v>六维未匹配</x:v>
      </x:c>
    </x:row>
    <x:row r="95" ht="20" customHeight="1">
      <x:c r="A95" s="26" t="str">
        <x:v>过关斩将</x:v>
      </x:c>
      <x:c r="B95" s="27" t="str">
        <x:v>兰亭</x:v>
      </x:c>
      <x:c r="C95" s="27" t="str">
        <x:v>六维未匹配</x:v>
      </x:c>
      <x:c r="D95" s="27"/>
      <x:c r="E95" s="40"/>
      <x:c r="F95" s="27" t="str"/>
      <x:c r="G95" s="55" t="str">
        <x:v>六维未匹配</x:v>
      </x:c>
    </x:row>
    <x:row r="96" ht="20" customHeight="1">
      <x:c r="A96" s="26" t="str">
        <x:v>沐月听风</x:v>
      </x:c>
      <x:c r="B96" s="27" t="str">
        <x:v>兰亭</x:v>
      </x:c>
      <x:c r="C96" s="27" t="str">
        <x:v>六维未匹配</x:v>
      </x:c>
      <x:c r="D96" s="27"/>
      <x:c r="E96" s="40"/>
      <x:c r="F96" s="27" t="str">
        <x:v>玲珑</x:v>
      </x:c>
      <x:c r="G96" s="55" t="str">
        <x:v>六维未匹配</x:v>
      </x:c>
    </x:row>
    <x:row r="97" ht="20" customHeight="1">
      <x:c r="A97" s="26" t="str">
        <x:v>大哥的小弟</x:v>
      </x:c>
      <x:c r="B97" s="27" t="str">
        <x:v>兰亭</x:v>
      </x:c>
      <x:c r="C97" s="27" t="str">
        <x:v>六维未匹配</x:v>
      </x:c>
      <x:c r="D97" s="27"/>
      <x:c r="E97" s="40"/>
      <x:c r="F97" s="27" t="str">
        <x:v>玲珑</x:v>
      </x:c>
      <x:c r="G97" s="55" t="str">
        <x:v>六维未匹配</x:v>
      </x:c>
    </x:row>
    <x:row r="98" ht="20" customHeight="1">
      <x:c r="A98" s="26" t="str">
        <x:v>莽二哥</x:v>
      </x:c>
      <x:c r="B98" s="27" t="str">
        <x:v>兰亭</x:v>
      </x:c>
      <x:c r="C98" s="27" t="str">
        <x:v>六维未匹配</x:v>
      </x:c>
      <x:c r="D98" s="27"/>
      <x:c r="E98" s="40"/>
      <x:c r="F98" s="27" t="str"/>
      <x:c r="G98" s="55" t="str">
        <x:v>六维未匹配</x:v>
      </x:c>
    </x:row>
    <x:row r="99" ht="20" customHeight="1">
      <x:c r="A99" s="26" t="str">
        <x:v>叫啥来着</x:v>
      </x:c>
      <x:c r="B99" s="27" t="str">
        <x:v>兰亭</x:v>
      </x:c>
      <x:c r="C99" s="27" t="str">
        <x:v>六维未匹配</x:v>
      </x:c>
      <x:c r="D99" s="27"/>
      <x:c r="E99" s="40"/>
      <x:c r="F99" s="27" t="str"/>
      <x:c r="G99" s="55" t="str">
        <x:v>六维未匹配</x:v>
      </x:c>
    </x:row>
    <x:row r="100" ht="20" customHeight="1">
      <x:c r="A100" s="26" t="str">
        <x:v>醉开心</x:v>
      </x:c>
      <x:c r="B100" s="27" t="str">
        <x:v>兰亭</x:v>
      </x:c>
      <x:c r="C100" s="27" t="str">
        <x:v>六维未匹配</x:v>
      </x:c>
      <x:c r="D100" s="27"/>
      <x:c r="E100" s="40"/>
      <x:c r="F100" s="27" t="str">
        <x:v>玲珑</x:v>
      </x:c>
      <x:c r="G100" s="55" t="str">
        <x:v>六维未匹配</x:v>
      </x:c>
    </x:row>
    <x:row r="101" ht="20" customHeight="1">
      <x:c r="A101" s="26" t="str">
        <x:v>石鼓名山</x:v>
      </x:c>
      <x:c r="B101" s="27" t="str">
        <x:v>兰亭</x:v>
      </x:c>
      <x:c r="C101" s="27" t="str">
        <x:v>六维未匹配</x:v>
      </x:c>
      <x:c r="D101" s="27"/>
      <x:c r="E101" s="40"/>
      <x:c r="F101" s="27" t="str"/>
      <x:c r="G101" s="55" t="str">
        <x:v>六维未匹配</x:v>
      </x:c>
    </x:row>
    <x:row r="102" ht="20" customHeight="1">
      <x:c r="A102" s="26" t="str">
        <x:v>一粒沙尘</x:v>
      </x:c>
      <x:c r="B102" s="27" t="str">
        <x:v>兰亭</x:v>
      </x:c>
      <x:c r="C102" s="27" t="str">
        <x:v>六维未匹配</x:v>
      </x:c>
      <x:c r="D102" s="27"/>
      <x:c r="E102" s="40"/>
      <x:c r="F102" s="27" t="str"/>
      <x:c r="G102" s="55" t="str">
        <x:v>六维未匹配</x:v>
      </x:c>
    </x:row>
    <x:row r="103" ht="20" customHeight="1">
      <x:c r="A103" s="26" t="str">
        <x:v>乔伊斯</x:v>
      </x:c>
      <x:c r="B103" s="27" t="str">
        <x:v>兰亭</x:v>
      </x:c>
      <x:c r="C103" s="27" t="str">
        <x:v>六维未匹配</x:v>
      </x:c>
      <x:c r="D103" s="27"/>
      <x:c r="E103" s="40"/>
      <x:c r="F103" s="27" t="str">
        <x:v>花晨</x:v>
      </x:c>
      <x:c r="G103" s="55" t="str">
        <x:v>六维未匹配</x:v>
      </x:c>
    </x:row>
    <x:row r="104" ht="20" customHeight="1">
      <x:c r="A104" s="26" t="str">
        <x:v>轻风飘雨</x:v>
      </x:c>
      <x:c r="B104" s="27" t="str">
        <x:v>兰亭</x:v>
      </x:c>
      <x:c r="C104" s="27" t="str">
        <x:v>六维未匹配</x:v>
      </x:c>
      <x:c r="D104" s="27"/>
      <x:c r="E104" s="40"/>
      <x:c r="F104" s="27" t="str"/>
      <x:c r="G104" s="55" t="str">
        <x:v>六维未匹配</x:v>
      </x:c>
    </x:row>
    <x:row r="105" ht="20" customHeight="1">
      <x:c r="A105" s="26" t="str">
        <x:v>多多苗</x:v>
      </x:c>
      <x:c r="B105" s="27" t="str">
        <x:v>兰亭</x:v>
      </x:c>
      <x:c r="C105" s="27" t="str">
        <x:v>六维未匹配</x:v>
      </x:c>
      <x:c r="D105" s="27"/>
      <x:c r="E105" s="40"/>
      <x:c r="F105" s="27" t="str"/>
      <x:c r="G105" s="55" t="str">
        <x:v>六维未匹配</x:v>
      </x:c>
    </x:row>
    <x:row r="106" ht="20" customHeight="1">
      <x:c r="A106" s="26" t="str">
        <x:v>涿郡屠户</x:v>
      </x:c>
      <x:c r="B106" s="27" t="str">
        <x:v>兰亭</x:v>
      </x:c>
      <x:c r="C106" s="27" t="str">
        <x:v>六维未匹配</x:v>
      </x:c>
      <x:c r="D106" s="27"/>
      <x:c r="E106" s="40"/>
      <x:c r="F106" s="27" t="str">
        <x:v>花晨</x:v>
      </x:c>
      <x:c r="G106" s="55" t="str">
        <x:v>六维未匹配</x:v>
      </x:c>
    </x:row>
    <x:row r="107" ht="20" customHeight="1">
      <x:c r="A107" s="26" t="str">
        <x:v>叫老公</x:v>
      </x:c>
      <x:c r="B107" s="27" t="str">
        <x:v>兰亭</x:v>
      </x:c>
      <x:c r="C107" s="27" t="str">
        <x:v>六维未匹配</x:v>
      </x:c>
      <x:c r="D107" s="27"/>
      <x:c r="E107" s="40"/>
      <x:c r="F107" s="27" t="str"/>
      <x:c r="G107" s="55" t="str">
        <x:v>六维未匹配</x:v>
      </x:c>
    </x:row>
    <x:row r="108" ht="20" customHeight="1">
      <x:c r="A108" s="26" t="str">
        <x:v>蓝天白云</x:v>
      </x:c>
      <x:c r="B108" s="27" t="str">
        <x:v>兰亭</x:v>
      </x:c>
      <x:c r="C108" s="27" t="str">
        <x:v>六维未匹配</x:v>
      </x:c>
      <x:c r="D108" s="27"/>
      <x:c r="E108" s="40"/>
      <x:c r="F108" s="27" t="str">
        <x:v>花晨</x:v>
      </x:c>
      <x:c r="G108" s="55" t="str">
        <x:v>六维未匹配</x:v>
      </x:c>
    </x:row>
    <x:row r="109" ht="20" customHeight="1">
      <x:c r="A109" s="26" t="str">
        <x:v>没想过</x:v>
      </x:c>
      <x:c r="B109" s="27" t="str">
        <x:v>兰亭</x:v>
      </x:c>
      <x:c r="C109" s="27" t="str">
        <x:v>六维未匹配</x:v>
      </x:c>
      <x:c r="D109" s="27"/>
      <x:c r="E109" s="40"/>
      <x:c r="F109" s="27" t="str"/>
      <x:c r="G109" s="55" t="str">
        <x:v>六维未匹配</x:v>
      </x:c>
    </x:row>
    <x:row r="110" ht="20" customHeight="1">
      <x:c r="A110" s="26" t="str">
        <x:v>已禁言</x:v>
      </x:c>
      <x:c r="B110" s="27" t="str">
        <x:v>燕云</x:v>
      </x:c>
      <x:c r="C110" s="27" t="str">
        <x:v>六维未匹配</x:v>
      </x:c>
      <x:c r="D110" s="27"/>
      <x:c r="E110" s="40"/>
      <x:c r="F110" s="27" t="str"/>
      <x:c r="G110" s="55" t="str">
        <x:v>六维未匹配</x:v>
      </x:c>
    </x:row>
    <x:row r="111" ht="20" customHeight="1">
      <x:c r="A111" s="26" t="str">
        <x:v>我佛慈悲</x:v>
      </x:c>
      <x:c r="B111" s="27" t="str">
        <x:v>燕云</x:v>
      </x:c>
      <x:c r="C111" s="27" t="str">
        <x:v>六维未匹配</x:v>
      </x:c>
      <x:c r="D111" s="27"/>
      <x:c r="E111" s="40"/>
      <x:c r="F111" s="27" t="str">
        <x:v>兰亭</x:v>
      </x:c>
      <x:c r="G111" s="55" t="str">
        <x:v>六维未匹配</x:v>
      </x:c>
    </x:row>
    <x:row r="112" ht="20" customHeight="1">
      <x:c r="A112" s="26" t="str">
        <x:v>温酒叙平生</x:v>
      </x:c>
      <x:c r="B112" s="27" t="str">
        <x:v>燕云</x:v>
      </x:c>
      <x:c r="C112" s="27" t="str">
        <x:v>六维未匹配</x:v>
      </x:c>
      <x:c r="D112" s="27"/>
      <x:c r="E112" s="40"/>
      <x:c r="F112" s="27" t="str"/>
      <x:c r="G112" s="55" t="str">
        <x:v>六维未匹配</x:v>
      </x:c>
    </x:row>
    <x:row r="113" ht="20" customHeight="1">
      <x:c r="A113" s="26" t="str">
        <x:v>柴里柴气</x:v>
      </x:c>
      <x:c r="B113" s="27" t="str">
        <x:v>燕云</x:v>
      </x:c>
      <x:c r="C113" s="27" t="str">
        <x:v>六维未匹配</x:v>
      </x:c>
      <x:c r="D113" s="27"/>
      <x:c r="E113" s="40"/>
      <x:c r="F113" s="27" t="str"/>
      <x:c r="G113" s="55" t="str">
        <x:v>六维未匹配</x:v>
      </x:c>
    </x:row>
    <x:row r="114" ht="20" customHeight="1">
      <x:c r="A114" s="26" t="str">
        <x:v>默默无语</x:v>
      </x:c>
      <x:c r="B114" s="27" t="str">
        <x:v>燕云</x:v>
      </x:c>
      <x:c r="C114" s="27" t="str">
        <x:v>六维未匹配</x:v>
      </x:c>
      <x:c r="D114" s="27"/>
      <x:c r="E114" s="40"/>
      <x:c r="F114" s="27" t="str"/>
      <x:c r="G114" s="55" t="str">
        <x:v>六维未匹配</x:v>
      </x:c>
    </x:row>
    <x:row r="115" ht="20" customHeight="1">
      <x:c r="A115" s="26" t="str">
        <x:v>柊芸墨</x:v>
      </x:c>
      <x:c r="B115" s="27" t="str">
        <x:v>燕云</x:v>
      </x:c>
      <x:c r="C115" s="27" t="str">
        <x:v>六维未匹配</x:v>
      </x:c>
      <x:c r="D115" s="27"/>
      <x:c r="E115" s="40"/>
      <x:c r="F115" s="27" t="str"/>
      <x:c r="G115" s="55" t="str">
        <x:v>六维未匹配</x:v>
      </x:c>
    </x:row>
    <x:row r="116" ht="20" customHeight="1">
      <x:c r="A116" s="26" t="str">
        <x:v>独孤九剑</x:v>
      </x:c>
      <x:c r="B116" s="27" t="str">
        <x:v>燕云</x:v>
      </x:c>
      <x:c r="C116" s="27" t="str">
        <x:v>六维未匹配</x:v>
      </x:c>
      <x:c r="D116" s="27"/>
      <x:c r="E116" s="40"/>
      <x:c r="F116" s="27" t="str"/>
      <x:c r="G116" s="55" t="str">
        <x:v>六维未匹配</x:v>
      </x:c>
    </x:row>
    <x:row r="117" ht="20" customHeight="1">
      <x:c r="A117" s="26" t="str">
        <x:v>蚂蚁森林</x:v>
      </x:c>
      <x:c r="B117" s="27" t="str">
        <x:v>燕云</x:v>
      </x:c>
      <x:c r="C117" s="27" t="str">
        <x:v>六维未匹配</x:v>
      </x:c>
      <x:c r="D117" s="27"/>
      <x:c r="E117" s="40"/>
      <x:c r="F117" s="27" t="str"/>
      <x:c r="G117" s="55" t="str">
        <x:v>六维未匹配</x:v>
      </x:c>
    </x:row>
    <x:row r="118" ht="20" customHeight="1">
      <x:c r="A118" s="26" t="str">
        <x:v>执迷不悔</x:v>
      </x:c>
      <x:c r="B118" s="27" t="str">
        <x:v>燕云</x:v>
      </x:c>
      <x:c r="C118" s="27" t="str">
        <x:v>六维未匹配</x:v>
      </x:c>
      <x:c r="D118" s="27"/>
      <x:c r="E118" s="40"/>
      <x:c r="F118" s="27" t="str"/>
      <x:c r="G118" s="55" t="str">
        <x:v>六维未匹配</x:v>
      </x:c>
    </x:row>
    <x:row r="119" ht="20" customHeight="1">
      <x:c r="A119" s="26" t="str">
        <x:v>小树叶</x:v>
      </x:c>
      <x:c r="B119" s="27" t="str">
        <x:v>燕云</x:v>
      </x:c>
      <x:c r="C119" s="27" t="str">
        <x:v>六维未匹配</x:v>
      </x:c>
      <x:c r="D119" s="27"/>
      <x:c r="E119" s="40"/>
      <x:c r="F119" s="27" t="str"/>
      <x:c r="G119" s="55" t="str">
        <x:v>六维未匹配</x:v>
      </x:c>
    </x:row>
    <x:row r="120" ht="20" customHeight="1">
      <x:c r="A120" s="26" t="str">
        <x:v>小香香</x:v>
      </x:c>
      <x:c r="B120" s="27" t="str">
        <x:v>燕云</x:v>
      </x:c>
      <x:c r="C120" s="27" t="str">
        <x:v>六维未匹配</x:v>
      </x:c>
      <x:c r="D120" s="27"/>
      <x:c r="E120" s="40"/>
      <x:c r="F120" s="27" t="str"/>
      <x:c r="G120" s="55" t="str">
        <x:v>六维未匹配</x:v>
      </x:c>
    </x:row>
    <x:row r="121" ht="20" customHeight="1">
      <x:c r="A121" s="26" t="str">
        <x:v>默资源</x:v>
      </x:c>
      <x:c r="B121" s="27" t="str">
        <x:v>燕云</x:v>
      </x:c>
      <x:c r="C121" s="27" t="str">
        <x:v>六维未匹配</x:v>
      </x:c>
      <x:c r="D121" s="27"/>
      <x:c r="E121" s="40"/>
      <x:c r="F121" s="27" t="str"/>
      <x:c r="G121" s="55" t="str">
        <x:v>六维未匹配</x:v>
      </x:c>
    </x:row>
    <x:row r="122" ht="20" customHeight="1">
      <x:c r="A122" s="26" t="str">
        <x:v>游戏玩家</x:v>
      </x:c>
      <x:c r="B122" s="27" t="str">
        <x:v>燕云</x:v>
      </x:c>
      <x:c r="C122" s="27" t="str">
        <x:v>六维未匹配</x:v>
      </x:c>
      <x:c r="D122" s="27"/>
      <x:c r="E122" s="40"/>
      <x:c r="F122" s="27" t="str"/>
      <x:c r="G122" s="55" t="str">
        <x:v>六维未匹配</x:v>
      </x:c>
    </x:row>
    <x:row r="123" ht="20" customHeight="1">
      <x:c r="A123" s="26" t="str">
        <x:v>独孤求败</x:v>
      </x:c>
      <x:c r="B123" s="27" t="str">
        <x:v>燕云</x:v>
      </x:c>
      <x:c r="C123" s="27" t="str">
        <x:v>六维未匹配</x:v>
      </x:c>
      <x:c r="D123" s="27"/>
      <x:c r="E123" s="40"/>
      <x:c r="F123" s="27" t="str"/>
      <x:c r="G123" s="55" t="str">
        <x:v>六维未匹配</x:v>
      </x:c>
    </x:row>
    <x:row r="124" ht="20" customHeight="1">
      <x:c r="A124" s="26" t="str">
        <x:v>小千与</x:v>
      </x:c>
      <x:c r="B124" s="27" t="str">
        <x:v>燕云</x:v>
      </x:c>
      <x:c r="C124" s="27" t="str">
        <x:v>六维未匹配</x:v>
      </x:c>
      <x:c r="D124" s="27"/>
      <x:c r="E124" s="40"/>
      <x:c r="F124" s="27" t="str"/>
      <x:c r="G124" s="55" t="str">
        <x:v>六维未匹配</x:v>
      </x:c>
    </x:row>
    <x:row r="125" ht="20" customHeight="1">
      <x:c r="A125" s="26" t="str">
        <x:v>一生有你</x:v>
      </x:c>
      <x:c r="B125" s="27" t="str">
        <x:v>燕云</x:v>
      </x:c>
      <x:c r="C125" s="27" t="str">
        <x:v>六维未匹配</x:v>
      </x:c>
      <x:c r="D125" s="27"/>
      <x:c r="E125" s="40"/>
      <x:c r="F125" s="27" t="str"/>
      <x:c r="G125" s="55" t="str">
        <x:v>六维未匹配</x:v>
      </x:c>
    </x:row>
    <x:row r="126" ht="20" customHeight="1">
      <x:c r="A126" s="26" t="str">
        <x:v>曹刘孙</x:v>
      </x:c>
      <x:c r="B126" s="27" t="str">
        <x:v>燕云</x:v>
      </x:c>
      <x:c r="C126" s="27" t="str">
        <x:v>六维未匹配</x:v>
      </x:c>
      <x:c r="D126" s="27"/>
      <x:c r="E126" s="40"/>
      <x:c r="F126" s="27" t="str"/>
      <x:c r="G126" s="55" t="str">
        <x:v>六维未匹配</x:v>
      </x:c>
    </x:row>
    <x:row r="127" ht="20" customHeight="1">
      <x:c r="A127" s="26" t="str">
        <x:v>主公973155934443</x:v>
      </x:c>
      <x:c r="B127" s="27" t="str">
        <x:v>燕云</x:v>
      </x:c>
      <x:c r="C127" s="27" t="str">
        <x:v>六维未匹配</x:v>
      </x:c>
      <x:c r="D127" s="27"/>
      <x:c r="E127" s="40"/>
      <x:c r="F127" s="27" t="str"/>
      <x:c r="G127" s="55" t="str">
        <x:v>六维未匹配</x:v>
      </x:c>
    </x:row>
    <x:row r="128" ht="20" customHeight="1">
      <x:c r="A128" s="26" t="str">
        <x:v>城市套路深</x:v>
      </x:c>
      <x:c r="B128" s="27" t="str">
        <x:v>燕云</x:v>
      </x:c>
      <x:c r="C128" s="27" t="str">
        <x:v>六维未匹配</x:v>
      </x:c>
      <x:c r="D128" s="27"/>
      <x:c r="E128" s="40"/>
      <x:c r="F128" s="27" t="str"/>
      <x:c r="G128" s="55" t="str">
        <x:v>六维未匹配</x:v>
      </x:c>
    </x:row>
    <x:row r="129" ht="20" customHeight="1">
      <x:c r="A129" s="26" t="str">
        <x:v>嫩达那蛋</x:v>
      </x:c>
      <x:c r="B129" s="27" t="str">
        <x:v>燕云</x:v>
      </x:c>
      <x:c r="C129" s="27" t="str">
        <x:v>六维未匹配</x:v>
      </x:c>
      <x:c r="D129" s="27"/>
      <x:c r="E129" s="40"/>
      <x:c r="F129" s="27" t="str"/>
      <x:c r="G129" s="55" t="str">
        <x:v>六维未匹配</x:v>
      </x:c>
    </x:row>
    <x:row r="130" ht="20" customHeight="1">
      <x:c r="A130" s="26" t="str">
        <x:v>黑瓜豆</x:v>
      </x:c>
      <x:c r="B130" s="27" t="str">
        <x:v>燕云</x:v>
      </x:c>
      <x:c r="C130" s="27" t="str">
        <x:v>六维未匹配</x:v>
      </x:c>
      <x:c r="D130" s="27"/>
      <x:c r="E130" s="40"/>
      <x:c r="F130" s="27" t="str"/>
      <x:c r="G130" s="55" t="str">
        <x:v>六维未匹配</x:v>
      </x:c>
    </x:row>
    <x:row r="131" ht="20" customHeight="1">
      <x:c r="A131" s="26" t="str">
        <x:v>飘逸凡尘</x:v>
      </x:c>
      <x:c r="B131" s="27" t="str">
        <x:v>燕云</x:v>
      </x:c>
      <x:c r="C131" s="27" t="str">
        <x:v>六维未匹配</x:v>
      </x:c>
      <x:c r="D131" s="27"/>
      <x:c r="E131" s="40"/>
      <x:c r="F131" s="27" t="str"/>
      <x:c r="G131" s="55" t="str">
        <x:v>六维未匹配</x:v>
      </x:c>
    </x:row>
    <x:row r="132" ht="20" customHeight="1">
      <x:c r="A132" s="26" t="str">
        <x:v>诶你这个</x:v>
      </x:c>
      <x:c r="B132" s="27" t="str">
        <x:v>燕云</x:v>
      </x:c>
      <x:c r="C132" s="27" t="str">
        <x:v>六维未匹配</x:v>
      </x:c>
      <x:c r="D132" s="27"/>
      <x:c r="E132" s="40"/>
      <x:c r="F132" s="27" t="str"/>
      <x:c r="G132" s="55" t="str">
        <x:v>六维未匹配</x:v>
      </x:c>
    </x:row>
    <x:row r="133" ht="20" customHeight="1">
      <x:c r="A133" s="26" t="str">
        <x:v>随风三国</x:v>
      </x:c>
      <x:c r="B133" s="27" t="str">
        <x:v>燕云</x:v>
      </x:c>
      <x:c r="C133" s="27" t="str">
        <x:v>六维未匹配</x:v>
      </x:c>
      <x:c r="D133" s="27"/>
      <x:c r="E133" s="40"/>
      <x:c r="F133" s="27" t="str"/>
      <x:c r="G133" s="55" t="str">
        <x:v>六维未匹配</x:v>
      </x:c>
    </x:row>
    <x:row r="134" ht="20" customHeight="1">
      <x:c r="A134" s="26" t="str">
        <x:v>吕布灬</x:v>
      </x:c>
      <x:c r="B134" s="27" t="str">
        <x:v>燕云</x:v>
      </x:c>
      <x:c r="C134" s="27" t="str">
        <x:v>六维未匹配</x:v>
      </x:c>
      <x:c r="D134" s="27"/>
      <x:c r="E134" s="40"/>
      <x:c r="F134" s="27" t="str"/>
      <x:c r="G134" s="55" t="str">
        <x:v>六维未匹配</x:v>
      </x:c>
    </x:row>
    <x:row r="135" ht="20" customHeight="1">
      <x:c r="A135" s="26" t="str">
        <x:v>海鸣威</x:v>
      </x:c>
      <x:c r="B135" s="27" t="str">
        <x:v>燕云</x:v>
      </x:c>
      <x:c r="C135" s="27" t="str">
        <x:v>六维未匹配</x:v>
      </x:c>
      <x:c r="D135" s="27"/>
      <x:c r="E135" s="40"/>
      <x:c r="F135" s="27" t="str"/>
      <x:c r="G135" s="55" t="str">
        <x:v>六维未匹配</x:v>
      </x:c>
    </x:row>
    <x:row r="136" ht="20" customHeight="1">
      <x:c r="A136" s="26" t="str">
        <x:v>想的美</x:v>
      </x:c>
      <x:c r="B136" s="27" t="str">
        <x:v>燕云</x:v>
      </x:c>
      <x:c r="C136" s="27" t="str">
        <x:v>六维未匹配</x:v>
      </x:c>
      <x:c r="D136" s="27"/>
      <x:c r="E136" s="40"/>
      <x:c r="F136" s="27" t="str"/>
      <x:c r="G136" s="55" t="str">
        <x:v>六维未匹配</x:v>
      </x:c>
    </x:row>
    <x:row r="137" ht="20" customHeight="1">
      <x:c r="A137" s="26" t="str">
        <x:v>取名太难</x:v>
      </x:c>
      <x:c r="B137" s="27" t="str">
        <x:v>燕云</x:v>
      </x:c>
      <x:c r="C137" s="27" t="str">
        <x:v>六维未匹配</x:v>
      </x:c>
      <x:c r="D137" s="27"/>
      <x:c r="E137" s="40"/>
      <x:c r="F137" s="27" t="str"/>
      <x:c r="G137" s="55" t="str">
        <x:v>六维未匹配</x:v>
      </x:c>
    </x:row>
    <x:row r="138" ht="20" customHeight="1">
      <x:c r="A138" s="26" t="str">
        <x:v>巴丹吉林</x:v>
      </x:c>
      <x:c r="B138" s="27" t="str">
        <x:v>燕云</x:v>
      </x:c>
      <x:c r="C138" s="27" t="str">
        <x:v>六维未匹配</x:v>
      </x:c>
      <x:c r="D138" s="27"/>
      <x:c r="E138" s="40"/>
      <x:c r="F138" s="27" t="str"/>
      <x:c r="G138" s="55" t="str">
        <x:v>六维未匹配</x:v>
      </x:c>
    </x:row>
    <x:row r="139" ht="20" customHeight="1">
      <x:c r="A139" s="26" t="str">
        <x:v>爱吃拼好饭</x:v>
      </x:c>
      <x:c r="B139" s="27" t="str">
        <x:v>燕云</x:v>
      </x:c>
      <x:c r="C139" s="27" t="str">
        <x:v>六维未匹配</x:v>
      </x:c>
      <x:c r="D139" s="27"/>
      <x:c r="E139" s="40"/>
      <x:c r="F139" s="27" t="str"/>
      <x:c r="G139" s="55" t="str">
        <x:v>六维未匹配</x:v>
      </x:c>
    </x:row>
    <x:row r="140" ht="20" customHeight="1">
      <x:c r="A140" s="26" t="str">
        <x:v>一一一一一一一一</x:v>
      </x:c>
      <x:c r="B140" s="27" t="str">
        <x:v>燕云</x:v>
      </x:c>
      <x:c r="C140" s="27" t="str">
        <x:v>六维未匹配</x:v>
      </x:c>
      <x:c r="D140" s="27"/>
      <x:c r="E140" s="40"/>
      <x:c r="F140" s="27" t="str"/>
      <x:c r="G140" s="55" t="str">
        <x:v>六维未匹配</x:v>
      </x:c>
    </x:row>
    <x:row r="141" ht="20" customHeight="1">
      <x:c r="A141" s="26" t="str">
        <x:v>西李楼帝国</x:v>
      </x:c>
      <x:c r="B141" s="27" t="str">
        <x:v>燕云</x:v>
      </x:c>
      <x:c r="C141" s="27" t="str">
        <x:v>六维未匹配</x:v>
      </x:c>
      <x:c r="D141" s="27"/>
      <x:c r="E141" s="40"/>
      <x:c r="F141" s="27" t="str"/>
      <x:c r="G141" s="55" t="str">
        <x:v>六维未匹配</x:v>
      </x:c>
    </x:row>
    <x:row r="142" ht="20" customHeight="1">
      <x:c r="A142" s="26" t="str">
        <x:v>六位帝皇玩</x:v>
      </x:c>
      <x:c r="B142" s="27" t="str">
        <x:v>燕云</x:v>
      </x:c>
      <x:c r="C142" s="27" t="str">
        <x:v>六维未匹配</x:v>
      </x:c>
      <x:c r="D142" s="27"/>
      <x:c r="E142" s="40"/>
      <x:c r="F142" s="27" t="str"/>
      <x:c r="G142" s="55" t="str">
        <x:v>六维未匹配</x:v>
      </x:c>
    </x:row>
    <x:row r="143" ht="20" customHeight="1">
      <x:c r="A143" s="26" t="str">
        <x:v>西圣地在</x:v>
      </x:c>
      <x:c r="B143" s="27" t="str">
        <x:v>燕云</x:v>
      </x:c>
      <x:c r="C143" s="27" t="str">
        <x:v>六维未匹配</x:v>
      </x:c>
      <x:c r="D143" s="27"/>
      <x:c r="E143" s="40"/>
      <x:c r="F143" s="27" t="str"/>
      <x:c r="G143" s="55" t="str">
        <x:v>六维未匹配</x:v>
      </x:c>
    </x:row>
    <x:row r="144" ht="20" customHeight="1">
      <x:c r="A144" s="26" t="str">
        <x:v>主公9324155908257</x:v>
      </x:c>
      <x:c r="B144" s="27" t="str">
        <x:v>燕云</x:v>
      </x:c>
      <x:c r="C144" s="27" t="str">
        <x:v>六维未匹配</x:v>
      </x:c>
      <x:c r="D144" s="27"/>
      <x:c r="E144" s="40"/>
      <x:c r="F144" s="27" t="str"/>
      <x:c r="G144" s="55" t="str">
        <x:v>六维未匹配</x:v>
      </x:c>
    </x:row>
    <x:row r="145" ht="20" customHeight="1">
      <x:c r="A145" s="26" t="str">
        <x:v>大头贴</x:v>
      </x:c>
      <x:c r="B145" s="27" t="str">
        <x:v>燕云</x:v>
      </x:c>
      <x:c r="C145" s="27" t="str">
        <x:v>六维未匹配</x:v>
      </x:c>
      <x:c r="D145" s="27"/>
      <x:c r="E145" s="40"/>
      <x:c r="F145" s="27" t="str"/>
      <x:c r="G145" s="55" t="str">
        <x:v>六维未匹配</x:v>
      </x:c>
    </x:row>
    <x:row r="146" ht="20" customHeight="1">
      <x:c r="A146" s="26" t="str">
        <x:v>极狐里</x:v>
      </x:c>
      <x:c r="B146" s="27" t="str">
        <x:v>燕云</x:v>
      </x:c>
      <x:c r="C146" s="27" t="str">
        <x:v>六维未匹配</x:v>
      </x:c>
      <x:c r="D146" s="27"/>
      <x:c r="E146" s="40"/>
      <x:c r="F146" s="27" t="str"/>
      <x:c r="G146" s="55" t="str">
        <x:v>六维未匹配</x:v>
      </x:c>
    </x:row>
    <x:row r="147" ht="20" customHeight="1">
      <x:c r="A147" s="26" t="str">
        <x:v>数一数</x:v>
      </x:c>
      <x:c r="B147" s="27" t="str">
        <x:v>燕云</x:v>
      </x:c>
      <x:c r="C147" s="27" t="str">
        <x:v>六维未匹配</x:v>
      </x:c>
      <x:c r="D147" s="27"/>
      <x:c r="E147" s="40"/>
      <x:c r="F147" s="27" t="str"/>
      <x:c r="G147" s="55" t="str">
        <x:v>六维未匹配</x:v>
      </x:c>
    </x:row>
    <x:row r="148" ht="20" customHeight="1">
      <x:c r="A148" s="26" t="str">
        <x:v>涵公主</x:v>
      </x:c>
      <x:c r="B148" s="27" t="str">
        <x:v>燕云</x:v>
      </x:c>
      <x:c r="C148" s="27" t="str">
        <x:v>六维未匹配</x:v>
      </x:c>
      <x:c r="D148" s="27"/>
      <x:c r="E148" s="40"/>
      <x:c r="F148" s="27" t="str"/>
      <x:c r="G148" s="55" t="str">
        <x:v>六维未匹配</x:v>
      </x:c>
    </x:row>
    <x:row r="149" ht="20" customHeight="1">
      <x:c r="A149" s="26" t="str">
        <x:v>骑貂蝉战吕布</x:v>
      </x:c>
      <x:c r="B149" s="27" t="str">
        <x:v>燕云</x:v>
      </x:c>
      <x:c r="C149" s="27" t="str">
        <x:v>六维未匹配</x:v>
      </x:c>
      <x:c r="D149" s="27"/>
      <x:c r="E149" s="40"/>
      <x:c r="F149" s="27" t="str"/>
      <x:c r="G149" s="55" t="str">
        <x:v>六维未匹配</x:v>
      </x:c>
    </x:row>
    <x:row r="150" ht="20" customHeight="1">
      <x:c r="A150" s="26" t="str">
        <x:v>达芬奇</x:v>
      </x:c>
      <x:c r="B150" s="27" t="str">
        <x:v>燕云</x:v>
      </x:c>
      <x:c r="C150" s="27" t="str">
        <x:v>六维未匹配</x:v>
      </x:c>
      <x:c r="D150" s="27"/>
      <x:c r="E150" s="40"/>
      <x:c r="F150" s="27" t="str"/>
      <x:c r="G150" s="55" t="str">
        <x:v>六维未匹配</x:v>
      </x:c>
    </x:row>
    <x:row r="151" ht="20" customHeight="1">
      <x:c r="A151" s="26" t="str">
        <x:v>失去的过往</x:v>
      </x:c>
      <x:c r="B151" s="27" t="str">
        <x:v>燕云</x:v>
      </x:c>
      <x:c r="C151" s="27" t="str">
        <x:v>六维未匹配</x:v>
      </x:c>
      <x:c r="D151" s="27"/>
      <x:c r="E151" s="40"/>
      <x:c r="F151" s="27" t="str"/>
      <x:c r="G151" s="55" t="str">
        <x:v>六维未匹配</x:v>
      </x:c>
    </x:row>
    <x:row r="152" ht="20" customHeight="1">
      <x:c r="A152" s="26" t="str">
        <x:v>莱菔子</x:v>
      </x:c>
      <x:c r="B152" s="27" t="str">
        <x:v>燕云</x:v>
      </x:c>
      <x:c r="C152" s="27" t="str">
        <x:v>六维未匹配</x:v>
      </x:c>
      <x:c r="D152" s="27"/>
      <x:c r="E152" s="40"/>
      <x:c r="F152" s="27" t="str"/>
      <x:c r="G152" s="55" t="str">
        <x:v>六维未匹配</x:v>
      </x:c>
    </x:row>
    <x:row r="153" ht="20" customHeight="1">
      <x:c r="A153" s="26" t="str">
        <x:v>名999</x:v>
      </x:c>
      <x:c r="B153" s="27" t="str">
        <x:v>燕云</x:v>
      </x:c>
      <x:c r="C153" s="27" t="str">
        <x:v>六维未匹配</x:v>
      </x:c>
      <x:c r="D153" s="27"/>
      <x:c r="E153" s="40"/>
      <x:c r="F153" s="27" t="str"/>
      <x:c r="G153" s="55" t="str">
        <x:v>六维未匹配</x:v>
      </x:c>
    </x:row>
    <x:row r="154" ht="20" customHeight="1">
      <x:c r="A154" s="26" t="str">
        <x:v>主公973155905003</x:v>
      </x:c>
      <x:c r="B154" s="27" t="str">
        <x:v>燕云</x:v>
      </x:c>
      <x:c r="C154" s="27" t="str">
        <x:v>六维未匹配</x:v>
      </x:c>
      <x:c r="D154" s="27"/>
      <x:c r="E154" s="40"/>
      <x:c r="F154" s="27" t="str"/>
      <x:c r="G154" s="55" t="str">
        <x:v>六维未匹配</x:v>
      </x:c>
    </x:row>
    <x:row r="155" ht="20" customHeight="1">
      <x:c r="A155" s="26" t="str">
        <x:v>葱绿葱</x:v>
      </x:c>
      <x:c r="B155" s="27" t="str">
        <x:v>燕云</x:v>
      </x:c>
      <x:c r="C155" s="27" t="str">
        <x:v>六维未匹配</x:v>
      </x:c>
      <x:c r="D155" s="27"/>
      <x:c r="E155" s="40"/>
      <x:c r="F155" s="27" t="str"/>
      <x:c r="G155" s="55" t="str">
        <x:v>六维未匹配</x:v>
      </x:c>
    </x:row>
    <x:row r="156" ht="20" customHeight="1">
      <x:c r="A156" s="26" t="str">
        <x:v>我不想要你的</x:v>
      </x:c>
      <x:c r="B156" s="27" t="str">
        <x:v>燕云</x:v>
      </x:c>
      <x:c r="C156" s="27" t="str">
        <x:v>六维未匹配</x:v>
      </x:c>
      <x:c r="D156" s="27"/>
      <x:c r="E156" s="40"/>
      <x:c r="F156" s="27" t="str"/>
      <x:c r="G156" s="55" t="str">
        <x:v>六维未匹配</x:v>
      </x:c>
    </x:row>
    <x:row r="157" ht="20" customHeight="1">
      <x:c r="A157" s="26" t="str">
        <x:v>帝心之神</x:v>
      </x:c>
      <x:c r="B157" s="27" t="str">
        <x:v>燕云</x:v>
      </x:c>
      <x:c r="C157" s="27" t="str">
        <x:v>六维未匹配</x:v>
      </x:c>
      <x:c r="D157" s="27"/>
      <x:c r="E157" s="40"/>
      <x:c r="F157" s="27" t="str"/>
      <x:c r="G157" s="55" t="str">
        <x:v>六维未匹配</x:v>
      </x:c>
    </x:row>
    <x:row r="158" ht="20" customHeight="1">
      <x:c r="A158" s="26" t="str">
        <x:v>曹丕的画多少钱</x:v>
      </x:c>
      <x:c r="B158" s="27" t="str">
        <x:v>燕云</x:v>
      </x:c>
      <x:c r="C158" s="27" t="str">
        <x:v>六维未匹配</x:v>
      </x:c>
      <x:c r="D158" s="27"/>
      <x:c r="E158" s="40"/>
      <x:c r="F158" s="27" t="str"/>
      <x:c r="G158" s="55" t="str">
        <x:v>六维未匹配</x:v>
      </x:c>
    </x:row>
    <x:row r="159" ht="20" customHeight="1">
      <x:c r="A159" s="26" t="str">
        <x:v>主公9367155954965</x:v>
      </x:c>
      <x:c r="B159" s="27" t="str">
        <x:v>燕云</x:v>
      </x:c>
      <x:c r="C159" s="27" t="str">
        <x:v>六维未匹配</x:v>
      </x:c>
      <x:c r="D159" s="27"/>
      <x:c r="E159" s="40"/>
      <x:c r="F159" s="27" t="str"/>
      <x:c r="G159" s="55" t="str">
        <x:v>六维未匹配</x:v>
      </x:c>
    </x:row>
    <x:row r="160" ht="20" customHeight="1">
      <x:c r="A160" s="26" t="str">
        <x:v>令狐老爷车</x:v>
      </x:c>
      <x:c r="B160" s="27" t="str">
        <x:v>燕云</x:v>
      </x:c>
      <x:c r="C160" s="27" t="str">
        <x:v>六维未匹配</x:v>
      </x:c>
      <x:c r="D160" s="27"/>
      <x:c r="E160" s="40"/>
      <x:c r="F160" s="27" t="str"/>
      <x:c r="G160" s="55" t="str">
        <x:v>六维未匹配</x:v>
      </x:c>
    </x:row>
    <x:row r="161" ht="20" customHeight="1">
      <x:c r="A161" s="26" t="str">
        <x:v>机器人大战木头人</x:v>
      </x:c>
      <x:c r="B161" s="27" t="str">
        <x:v>燕云</x:v>
      </x:c>
      <x:c r="C161" s="27" t="str">
        <x:v>六维未匹配</x:v>
      </x:c>
      <x:c r="D161" s="27"/>
      <x:c r="E161" s="40"/>
      <x:c r="F161" s="27" t="str"/>
      <x:c r="G161" s="55" t="str">
        <x:v>六维未匹配</x:v>
      </x:c>
    </x:row>
    <x:row r="162" ht="20" customHeight="1">
      <x:c r="A162" s="26" t="str">
        <x:v>江南北国</x:v>
      </x:c>
      <x:c r="B162" s="27" t="str">
        <x:v>燕云</x:v>
      </x:c>
      <x:c r="C162" s="27" t="str">
        <x:v>六维未匹配</x:v>
      </x:c>
      <x:c r="D162" s="27"/>
      <x:c r="E162" s="40"/>
      <x:c r="F162" s="27" t="str"/>
      <x:c r="G162" s="55" t="str">
        <x:v>六维未匹配</x:v>
      </x:c>
    </x:row>
    <x:row r="163" ht="20" customHeight="1">
      <x:c r="A163" s="26" t="str">
        <x:v>哎呦喂丶那个谁</x:v>
      </x:c>
      <x:c r="B163" s="27" t="str">
        <x:v>燕云</x:v>
      </x:c>
      <x:c r="C163" s="27" t="str">
        <x:v>六维未匹配</x:v>
      </x:c>
      <x:c r="D163" s="27"/>
      <x:c r="E163" s="40"/>
      <x:c r="F163" s="27" t="str"/>
      <x:c r="G163" s="55" t="str">
        <x:v>六维未匹配</x:v>
      </x:c>
    </x:row>
    <x:row r="164" ht="20" customHeight="1">
      <x:c r="A164" s="26" t="str">
        <x:v>十九停</x:v>
      </x:c>
      <x:c r="B164" s="27" t="str">
        <x:v>燕云</x:v>
      </x:c>
      <x:c r="C164" s="27" t="str">
        <x:v>六维未匹配</x:v>
      </x:c>
      <x:c r="D164" s="27"/>
      <x:c r="E164" s="40"/>
      <x:c r="F164" s="27" t="str"/>
      <x:c r="G164" s="55" t="str">
        <x:v>六维未匹配</x:v>
      </x:c>
    </x:row>
    <x:row r="165" ht="20" customHeight="1">
      <x:c r="A165" s="26" t="str">
        <x:v>云子呀</x:v>
      </x:c>
      <x:c r="B165" s="27" t="str">
        <x:v>燕云</x:v>
      </x:c>
      <x:c r="C165" s="27" t="str">
        <x:v>六维未匹配</x:v>
      </x:c>
      <x:c r="D165" s="27"/>
      <x:c r="E165" s="40"/>
      <x:c r="F165" s="27" t="str"/>
      <x:c r="G165" s="55" t="str">
        <x:v>六维未匹配</x:v>
      </x:c>
    </x:row>
    <x:row r="166" ht="20" customHeight="1">
      <x:c r="A166" s="26" t="str">
        <x:v>猫猫钓鱼</x:v>
      </x:c>
      <x:c r="B166" s="27" t="str">
        <x:v>燕云</x:v>
      </x:c>
      <x:c r="C166" s="27" t="str">
        <x:v>六维未匹配</x:v>
      </x:c>
      <x:c r="D166" s="27"/>
      <x:c r="E166" s="40"/>
      <x:c r="F166" s="27" t="str"/>
      <x:c r="G166" s="55" t="str">
        <x:v>六维未匹配</x:v>
      </x:c>
    </x:row>
    <x:row r="167" ht="20" customHeight="1">
      <x:c r="A167" s="26" t="str">
        <x:v>主公973155818945</x:v>
      </x:c>
      <x:c r="B167" s="27" t="str">
        <x:v>燕云</x:v>
      </x:c>
      <x:c r="C167" s="27" t="str">
        <x:v>六维未匹配</x:v>
      </x:c>
      <x:c r="D167" s="27"/>
      <x:c r="E167" s="40"/>
      <x:c r="F167" s="27" t="str"/>
      <x:c r="G167" s="55" t="str">
        <x:v>六维未匹配</x:v>
      </x:c>
    </x:row>
    <x:row r="168" ht="20" customHeight="1">
      <x:c r="A168" s="26" t="str">
        <x:v>上海人</x:v>
      </x:c>
      <x:c r="B168" s="27" t="str">
        <x:v>燕云</x:v>
      </x:c>
      <x:c r="C168" s="27" t="str">
        <x:v>六维未匹配</x:v>
      </x:c>
      <x:c r="D168" s="27"/>
      <x:c r="E168" s="40"/>
      <x:c r="F168" s="27" t="str"/>
      <x:c r="G168" s="55" t="str">
        <x:v>六维未匹配</x:v>
      </x:c>
    </x:row>
    <x:row r="169" ht="20" customHeight="1">
      <x:c r="A169" s="26" t="str">
        <x:v>梦回三国戏貂蝉</x:v>
      </x:c>
      <x:c r="B169" s="27" t="str">
        <x:v>燕云</x:v>
      </x:c>
      <x:c r="C169" s="27" t="str">
        <x:v>六维未匹配</x:v>
      </x:c>
      <x:c r="D169" s="27"/>
      <x:c r="E169" s="40"/>
      <x:c r="F169" s="27" t="str"/>
      <x:c r="G169" s="55" t="str">
        <x:v>六维未匹配</x:v>
      </x:c>
    </x:row>
    <x:row r="170" ht="20" customHeight="1">
      <x:c r="A170" s="26" t="str">
        <x:v>忘尘释然</x:v>
      </x:c>
      <x:c r="B170" s="27" t="str">
        <x:v>燕云</x:v>
      </x:c>
      <x:c r="C170" s="27" t="str">
        <x:v>六维未匹配</x:v>
      </x:c>
      <x:c r="D170" s="27"/>
      <x:c r="E170" s="40"/>
      <x:c r="F170" s="27" t="str"/>
      <x:c r="G170" s="55" t="str">
        <x:v>六维未匹配</x:v>
      </x:c>
    </x:row>
    <x:row r="171" ht="20" customHeight="1">
      <x:c r="A171" s="26" t="str">
        <x:v>橙橙逸</x:v>
      </x:c>
      <x:c r="B171" s="27" t="str">
        <x:v>燕云</x:v>
      </x:c>
      <x:c r="C171" s="27" t="str">
        <x:v>六维未匹配</x:v>
      </x:c>
      <x:c r="D171" s="27"/>
      <x:c r="E171" s="40"/>
      <x:c r="F171" s="27" t="str"/>
      <x:c r="G171" s="55" t="str">
        <x:v>六维未匹配</x:v>
      </x:c>
    </x:row>
    <x:row r="172" ht="20" customHeight="1">
      <x:c r="A172" s="26" t="str">
        <x:v>星露谷</x:v>
      </x:c>
      <x:c r="B172" s="27" t="str">
        <x:v>燕云</x:v>
      </x:c>
      <x:c r="C172" s="27" t="str">
        <x:v>六维未匹配</x:v>
      </x:c>
      <x:c r="D172" s="27"/>
      <x:c r="E172" s="40"/>
      <x:c r="F172" s="27" t="str"/>
      <x:c r="G172" s="55" t="str">
        <x:v>六维未匹配</x:v>
      </x:c>
    </x:row>
    <x:row r="173" ht="20" customHeight="1">
      <x:c r="A173" s="26" t="str">
        <x:v>十六的六</x:v>
      </x:c>
      <x:c r="B173" s="27" t="str">
        <x:v>燕云</x:v>
      </x:c>
      <x:c r="C173" s="27" t="str">
        <x:v>六维未匹配</x:v>
      </x:c>
      <x:c r="D173" s="27"/>
      <x:c r="E173" s="40"/>
      <x:c r="F173" s="27" t="str"/>
      <x:c r="G173" s="55" t="str">
        <x:v>六维未匹配</x:v>
      </x:c>
    </x:row>
    <x:row r="174" ht="20" customHeight="1">
      <x:c r="A174" s="26" t="str">
        <x:v>小心白眼郎</x:v>
      </x:c>
      <x:c r="B174" s="27" t="str">
        <x:v>燕云</x:v>
      </x:c>
      <x:c r="C174" s="27" t="str">
        <x:v>六维未匹配</x:v>
      </x:c>
      <x:c r="D174" s="27"/>
      <x:c r="E174" s="40"/>
      <x:c r="F174" s="27" t="str"/>
      <x:c r="G174" s="55" t="str">
        <x:v>六维未匹配</x:v>
      </x:c>
    </x:row>
    <x:row r="175" ht="20" customHeight="1">
      <x:c r="A175" s="26" t="str">
        <x:v>小洛雪</x:v>
      </x:c>
      <x:c r="B175" s="27" t="str">
        <x:v>燕云</x:v>
      </x:c>
      <x:c r="C175" s="27" t="str">
        <x:v>六维未匹配</x:v>
      </x:c>
      <x:c r="D175" s="27"/>
      <x:c r="E175" s="40"/>
      <x:c r="F175" s="27" t="str"/>
      <x:c r="G175" s="55" t="str">
        <x:v>六维未匹配</x:v>
      </x:c>
    </x:row>
    <x:row r="176" ht="20" customHeight="1">
      <x:c r="A176" s="26" t="str">
        <x:v>橘卿悦</x:v>
      </x:c>
      <x:c r="B176" s="27" t="str">
        <x:v>燕云</x:v>
      </x:c>
      <x:c r="C176" s="27" t="str">
        <x:v>六维未匹配</x:v>
      </x:c>
      <x:c r="D176" s="27"/>
      <x:c r="E176" s="40"/>
      <x:c r="F176" s="27" t="str"/>
      <x:c r="G176" s="55" t="str">
        <x:v>六维未匹配</x:v>
      </x:c>
    </x:row>
    <x:row r="177" ht="20" customHeight="1">
      <x:c r="A177" s="26" t="str">
        <x:v>菠萝小号</x:v>
      </x:c>
      <x:c r="B177" s="27" t="str">
        <x:v>燕云</x:v>
      </x:c>
      <x:c r="C177" s="27" t="str">
        <x:v>六维未匹配</x:v>
      </x:c>
      <x:c r="D177" s="27"/>
      <x:c r="E177" s="40"/>
      <x:c r="F177" s="27" t="str"/>
      <x:c r="G177" s="55" t="str">
        <x:v>六维未匹配</x:v>
      </x:c>
    </x:row>
    <x:row r="178" ht="20" customHeight="1">
      <x:c r="A178" s="26" t="str">
        <x:v>许诺是个小虾米</x:v>
      </x:c>
      <x:c r="B178" s="27" t="str">
        <x:v>燕云</x:v>
      </x:c>
      <x:c r="C178" s="27" t="str">
        <x:v>六维未匹配</x:v>
      </x:c>
      <x:c r="D178" s="27"/>
      <x:c r="E178" s="40"/>
      <x:c r="F178" s="27" t="str"/>
      <x:c r="G178" s="55" t="str">
        <x:v>六维未匹配</x:v>
      </x:c>
    </x:row>
    <x:row r="179" ht="20" customHeight="1">
      <x:c r="A179" s="26" t="str">
        <x:v>祈愿星</x:v>
      </x:c>
      <x:c r="B179" s="27" t="str">
        <x:v>燕云</x:v>
      </x:c>
      <x:c r="C179" s="27" t="str">
        <x:v>六维未匹配</x:v>
      </x:c>
      <x:c r="D179" s="27"/>
      <x:c r="E179" s="40"/>
      <x:c r="F179" s="27" t="str"/>
      <x:c r="G179" s="55" t="str">
        <x:v>六维未匹配</x:v>
      </x:c>
    </x:row>
    <x:row r="180" ht="20" customHeight="1">
      <x:c r="A180" s="26" t="str">
        <x:v>上官十一</x:v>
      </x:c>
      <x:c r="B180" s="27" t="str">
        <x:v>燕云</x:v>
      </x:c>
      <x:c r="C180" s="27" t="str">
        <x:v>六维未匹配</x:v>
      </x:c>
      <x:c r="D180" s="27"/>
      <x:c r="E180" s="40"/>
      <x:c r="F180" s="27" t="str"/>
      <x:c r="G180" s="55" t="str">
        <x:v>六维未匹配</x:v>
      </x:c>
    </x:row>
    <x:row r="181" ht="20" customHeight="1">
      <x:c r="A181" s="26" t="str">
        <x:v>嘤嘤嘤11111</x:v>
      </x:c>
      <x:c r="B181" s="27" t="str">
        <x:v>燕云</x:v>
      </x:c>
      <x:c r="C181" s="27" t="str">
        <x:v>六维未匹配</x:v>
      </x:c>
      <x:c r="D181" s="27"/>
      <x:c r="E181" s="40"/>
      <x:c r="F181" s="27" t="str"/>
      <x:c r="G181" s="55" t="str">
        <x:v>六维未匹配</x:v>
      </x:c>
    </x:row>
    <x:row r="182" ht="20" customHeight="1">
      <x:c r="A182" s="26" t="str">
        <x:v>睡觉大王</x:v>
      </x:c>
      <x:c r="B182" s="27" t="str">
        <x:v>燕云</x:v>
      </x:c>
      <x:c r="C182" s="27" t="str">
        <x:v>六维未匹配</x:v>
      </x:c>
      <x:c r="D182" s="27"/>
      <x:c r="E182" s="40"/>
      <x:c r="F182" s="27" t="str"/>
      <x:c r="G182" s="55" t="str">
        <x:v>六维未匹配</x:v>
      </x:c>
    </x:row>
    <x:row r="183" ht="20" customHeight="1">
      <x:c r="A183" s="26" t="str">
        <x:v>星火璀璨</x:v>
      </x:c>
      <x:c r="B183" s="27" t="str">
        <x:v>燕云</x:v>
      </x:c>
      <x:c r="C183" s="27" t="str">
        <x:v>六维未匹配</x:v>
      </x:c>
      <x:c r="D183" s="27"/>
      <x:c r="E183" s="40"/>
      <x:c r="F183" s="27" t="str"/>
      <x:c r="G183" s="55" t="str">
        <x:v>六维未匹配</x:v>
      </x:c>
    </x:row>
    <x:row r="184" ht="20" customHeight="1">
      <x:c r="A184" s="26" t="str">
        <x:v>小曦汐</x:v>
      </x:c>
      <x:c r="B184" s="27" t="str">
        <x:v>燕云</x:v>
      </x:c>
      <x:c r="C184" s="27" t="str">
        <x:v>六维未匹配</x:v>
      </x:c>
      <x:c r="D184" s="27"/>
      <x:c r="E184" s="40"/>
      <x:c r="F184" s="27" t="str"/>
      <x:c r="G184" s="55" t="str">
        <x:v>六维未匹配</x:v>
      </x:c>
    </x:row>
    <x:row r="185" ht="20" customHeight="1">
      <x:c r="A185" s="26" t="str">
        <x:v>迷你秋啾啾</x:v>
      </x:c>
      <x:c r="B185" s="27" t="str">
        <x:v>燕云</x:v>
      </x:c>
      <x:c r="C185" s="27" t="str">
        <x:v>六维未匹配</x:v>
      </x:c>
      <x:c r="D185" s="27"/>
      <x:c r="E185" s="40"/>
      <x:c r="F185" s="27" t="str"/>
      <x:c r="G185" s="55" t="str">
        <x:v>六维未匹配</x:v>
      </x:c>
    </x:row>
    <x:row r="186" ht="20" customHeight="1">
      <x:c r="A186" s="26" t="str">
        <x:v>小苍苍</x:v>
      </x:c>
      <x:c r="B186" s="27" t="str">
        <x:v>燕云</x:v>
      </x:c>
      <x:c r="C186" s="27" t="str">
        <x:v>六维未匹配</x:v>
      </x:c>
      <x:c r="D186" s="27"/>
      <x:c r="E186" s="40"/>
      <x:c r="F186" s="27" t="str"/>
      <x:c r="G186" s="55" t="str">
        <x:v>六维未匹配</x:v>
      </x:c>
    </x:row>
    <x:row r="187" ht="20" customHeight="1">
      <x:c r="A187" s="26" t="str">
        <x:v>小青柠檬</x:v>
      </x:c>
      <x:c r="B187" s="27" t="str">
        <x:v>燕云</x:v>
      </x:c>
      <x:c r="C187" s="27" t="str">
        <x:v>六维未匹配</x:v>
      </x:c>
      <x:c r="D187" s="27"/>
      <x:c r="E187" s="40"/>
      <x:c r="F187" s="27" t="str"/>
      <x:c r="G187" s="55" t="str">
        <x:v>六维未匹配</x:v>
      </x:c>
    </x:row>
    <x:row r="188" ht="20" customHeight="1">
      <x:c r="A188" s="26" t="str">
        <x:v>汉堡包#937</x:v>
      </x:c>
      <x:c r="B188" s="27" t="str">
        <x:v>花晨</x:v>
      </x:c>
      <x:c r="C188" s="27" t="str">
        <x:v>已匹配/名称变化</x:v>
      </x:c>
      <x:c r="D188" s="27" t="str">
        <x:v>汉堡包</x:v>
      </x:c>
      <x:c r="E188" s="40" t="n">
        <x:v>4964</x:v>
      </x:c>
      <x:c r="F188" s="27" t="str">
        <x:v>花晨</x:v>
      </x:c>
      <x:c r="G188" s="55" t="str">
        <x:v>名称对应：汉堡包</x:v>
      </x:c>
    </x:row>
    <x:row r="189" ht="20" customHeight="1">
      <x:c r="A189" s="26" t="str">
        <x:v>野小马001</x:v>
      </x:c>
      <x:c r="B189" s="27" t="str">
        <x:v>花晨</x:v>
      </x:c>
      <x:c r="C189" s="27" t="str">
        <x:v>已匹配/名称变化</x:v>
      </x:c>
      <x:c r="D189" s="27" t="str">
        <x:v>野小马</x:v>
      </x:c>
      <x:c r="E189" s="40" t="n">
        <x:v>4498</x:v>
      </x:c>
      <x:c r="F189" s="27" t="str">
        <x:v>花晨</x:v>
      </x:c>
      <x:c r="G189" s="55" t="str">
        <x:v>名称对应：野小马</x:v>
      </x:c>
    </x:row>
    <x:row r="190" ht="20" customHeight="1">
      <x:c r="A190" s="26" t="str">
        <x:v>小七小时候</x:v>
      </x:c>
      <x:c r="B190" s="27" t="str">
        <x:v>花晨</x:v>
      </x:c>
      <x:c r="C190" s="27" t="str">
        <x:v>已匹配/名称变化</x:v>
      </x:c>
      <x:c r="D190" s="27" t="str">
        <x:v>幸运小七</x:v>
      </x:c>
      <x:c r="E190" s="40" t="n">
        <x:v>3956</x:v>
      </x:c>
      <x:c r="F190" s="27" t="str">
        <x:v>花晨</x:v>
      </x:c>
      <x:c r="G190" s="55" t="str">
        <x:v>名称对应：幸运小七</x:v>
      </x:c>
    </x:row>
    <x:row r="191" ht="20" customHeight="1">
      <x:c r="A191" s="26" t="str">
        <x:v>桔梨椤柚</x:v>
      </x:c>
      <x:c r="B191" s="27" t="str">
        <x:v>花晨</x:v>
      </x:c>
      <x:c r="C191" s="27" t="str">
        <x:v>已匹配/名称变化</x:v>
      </x:c>
      <x:c r="D191" s="27" t="str">
        <x:v>桔梨萝柚</x:v>
      </x:c>
      <x:c r="E191" s="40" t="n">
        <x:v>4475</x:v>
      </x:c>
      <x:c r="F191" s="27" t="str">
        <x:v>花晨</x:v>
      </x:c>
      <x:c r="G191" s="55" t="str">
        <x:v>名称对应：桔梨萝柚</x:v>
      </x:c>
    </x:row>
    <x:row r="192" ht="20" customHeight="1">
      <x:c r="A192" s="26" t="str">
        <x:v>潘多拉独角兽</x:v>
      </x:c>
      <x:c r="B192" s="27" t="str">
        <x:v>玲珑</x:v>
      </x:c>
      <x:c r="C192" s="27" t="str">
        <x:v>已匹配/名称变化</x:v>
      </x:c>
      <x:c r="D192" s="27" t="str">
        <x:v>独角兽</x:v>
      </x:c>
      <x:c r="E192" s="40" t="n">
        <x:v>4576</x:v>
      </x:c>
      <x:c r="F192" s="27" t="str"/>
      <x:c r="G192" s="55" t="str">
        <x:v>名称对应：独角兽</x:v>
      </x:c>
    </x:row>
    <x:row r="193" ht="20" customHeight="1">
      <x:c r="A193" s="26" t="str">
        <x:v>小王丶</x:v>
      </x:c>
      <x:c r="B193" s="27" t="str">
        <x:v>玲珑</x:v>
      </x:c>
      <x:c r="C193" s="27" t="str">
        <x:v>已匹配/名称变化</x:v>
      </x:c>
      <x:c r="D193" s="27" t="str">
        <x:v>小王爱吃车厘子、</x:v>
      </x:c>
      <x:c r="E193" s="40" t="n">
        <x:v>6072</x:v>
      </x:c>
      <x:c r="F193" s="27" t="str">
        <x:v>兰亭</x:v>
      </x:c>
      <x:c r="G193" s="55" t="str">
        <x:v>名称对应：小王爱吃车厘子、</x:v>
      </x:c>
    </x:row>
    <x:row r="194" ht="20" customHeight="1">
      <x:c r="A194" s="26" t="str">
        <x:v>我是老婆的老婆宝</x:v>
      </x:c>
      <x:c r="B194" s="27" t="str">
        <x:v>玲珑</x:v>
      </x:c>
      <x:c r="C194" s="27" t="str">
        <x:v>已匹配/名称变化</x:v>
      </x:c>
      <x:c r="D194" s="27" t="str">
        <x:v>我老婆的老婆宝</x:v>
      </x:c>
      <x:c r="E194" s="40" t="n">
        <x:v>4218</x:v>
      </x:c>
      <x:c r="F194" s="27" t="str">
        <x:v>兰亭</x:v>
      </x:c>
      <x:c r="G194" s="55" t="str">
        <x:v>名称对应：我老婆的老婆宝</x:v>
      </x:c>
    </x:row>
    <x:row r="195" ht="20" customHeight="1">
      <x:c r="A195" s="26" t="str">
        <x:v>聪聪121</x:v>
      </x:c>
      <x:c r="B195" s="27" t="str">
        <x:v>玲珑</x:v>
      </x:c>
      <x:c r="C195" s="27" t="str">
        <x:v>已匹配/名称变化</x:v>
      </x:c>
      <x:c r="D195" s="27" t="str">
        <x:v>聪聪</x:v>
      </x:c>
      <x:c r="E195" s="40" t="n">
        <x:v>4633</x:v>
      </x:c>
      <x:c r="F195" s="27" t="str">
        <x:v>兰亭</x:v>
      </x:c>
      <x:c r="G195" s="55" t="str">
        <x:v>名称对应：聪聪</x:v>
      </x:c>
    </x:row>
    <x:row r="196" ht="20" customHeight="1">
      <x:c r="A196" s="26" t="str">
        <x:v>发呆第一名</x:v>
      </x:c>
      <x:c r="B196" s="27" t="str">
        <x:v>玲珑</x:v>
      </x:c>
      <x:c r="C196" s="27" t="str">
        <x:v>已匹配/名称变化</x:v>
      </x:c>
      <x:c r="D196" s="27" t="str">
        <x:v>发呆</x:v>
      </x:c>
      <x:c r="E196" s="40" t="n">
        <x:v>4231</x:v>
      </x:c>
      <x:c r="F196" s="27" t="str"/>
      <x:c r="G196" s="55" t="str">
        <x:v>名称对应：发呆</x:v>
      </x:c>
    </x:row>
    <x:row r="197" ht="20" customHeight="1">
      <x:c r="A197" s="26" t="str">
        <x:v>玉丨虎啸郑风</x:v>
      </x:c>
      <x:c r="B197" s="27" t="str">
        <x:v>兰亭</x:v>
      </x:c>
      <x:c r="C197" s="27" t="str">
        <x:v>已匹配/名称变化</x:v>
      </x:c>
      <x:c r="D197" s="27" t="str">
        <x:v>郑风</x:v>
      </x:c>
      <x:c r="E197" s="40" t="n">
        <x:v>5800</x:v>
      </x:c>
      <x:c r="F197" s="27" t="str"/>
      <x:c r="G197" s="55" t="str">
        <x:v>名称对应：郑风</x:v>
      </x:c>
    </x:row>
    <x:row r="198" ht="20" customHeight="1">
      <x:c r="A198" s="26" t="str">
        <x:v>香香公主59</x:v>
      </x:c>
      <x:c r="B198" s="27" t="str">
        <x:v>兰亭</x:v>
      </x:c>
      <x:c r="C198" s="27" t="str">
        <x:v>已匹配/名称变化</x:v>
      </x:c>
      <x:c r="D198" s="27" t="str">
        <x:v>香香公主</x:v>
      </x:c>
      <x:c r="E198" s="40" t="n">
        <x:v>4190</x:v>
      </x:c>
      <x:c r="F198" s="27" t="str">
        <x:v>花晨</x:v>
      </x:c>
      <x:c r="G198" s="55" t="str">
        <x:v>名称对应：香香公主</x:v>
      </x:c>
    </x:row>
    <x:row r="199" ht="20" customHeight="1">
      <x:c r="A199" s="26" t="str">
        <x:v>小婷婷啊</x:v>
      </x:c>
      <x:c r="B199" s="27" t="str">
        <x:v>兰亭</x:v>
      </x:c>
      <x:c r="C199" s="27" t="str">
        <x:v>已匹配/名称变化</x:v>
      </x:c>
      <x:c r="D199" s="27" t="str">
        <x:v>小婷婷</x:v>
      </x:c>
      <x:c r="E199" s="40" t="n">
        <x:v>3439</x:v>
      </x:c>
      <x:c r="F199" s="27" t="str">
        <x:v>花晨</x:v>
      </x:c>
      <x:c r="G199" s="55" t="str">
        <x:v>名称对应：小婷婷</x:v>
      </x:c>
    </x:row>
    <x:row r="200" ht="20" customHeight="1">
      <x:c r="A200" s="26" t="str">
        <x:v>资本家来了</x:v>
      </x:c>
      <x:c r="B200" s="27" t="str">
        <x:v>兰亭</x:v>
      </x:c>
      <x:c r="C200" s="27" t="str">
        <x:v>已匹配/名称变化</x:v>
      </x:c>
      <x:c r="D200" s="27" t="str">
        <x:v>资本家</x:v>
      </x:c>
      <x:c r="E200" s="40" t="n">
        <x:v>4572</x:v>
      </x:c>
      <x:c r="F200" s="27" t="str"/>
      <x:c r="G200" s="55" t="str">
        <x:v>名称对应：资本家</x:v>
      </x:c>
    </x:row>
    <x:row r="201" ht="20" customHeight="1">
      <x:c r="A201" s="26" t="str">
        <x:v>闷骚的文海</x:v>
      </x:c>
      <x:c r="B201" s="27" t="str">
        <x:v>兰亭</x:v>
      </x:c>
      <x:c r="C201" s="27" t="str">
        <x:v>已匹配/名称变化</x:v>
      </x:c>
      <x:c r="D201" s="27" t="str">
        <x:v>缘落文海</x:v>
      </x:c>
      <x:c r="E201" s="40" t="n">
        <x:v>4400</x:v>
      </x:c>
      <x:c r="F201" s="27" t="str"/>
      <x:c r="G201" s="55" t="str">
        <x:v>名称对应：缘落文海</x:v>
      </x:c>
    </x:row>
    <x:row r="202" ht="20" customHeight="1">
      <x:c r="A202" s="26" t="str">
        <x:v>云丨毛毛大王</x:v>
      </x:c>
      <x:c r="B202" s="27" t="str">
        <x:v>兰亭</x:v>
      </x:c>
      <x:c r="C202" s="27" t="str">
        <x:v>已匹配/名称变化</x:v>
      </x:c>
      <x:c r="D202" s="27" t="str">
        <x:v>毛毛大王</x:v>
      </x:c>
      <x:c r="E202" s="40" t="n">
        <x:v>3523</x:v>
      </x:c>
      <x:c r="F202" s="27" t="str"/>
      <x:c r="G202" s="55" t="str">
        <x:v>名称对应：毛毛大王</x:v>
      </x:c>
    </x:row>
    <x:row r="203" ht="20" customHeight="1">
      <x:c r="A203" s="29" t="str">
        <x:v>茶茶呀</x:v>
      </x:c>
      <x:c r="B203" s="30" t="str">
        <x:v>兰亭</x:v>
      </x:c>
      <x:c r="C203" s="30" t="str">
        <x:v>已匹配/名称变化</x:v>
      </x:c>
      <x:c r="D203" s="30" t="str">
        <x:v>荼荼呀</x:v>
      </x:c>
      <x:c r="E203" s="41" t="n">
        <x:v>4351</x:v>
      </x:c>
      <x:c r="F203" s="30" t="str">
        <x:v>玲珑</x:v>
      </x:c>
      <x:c r="G203" s="56" t="str">
        <x:v>名称对应：荼荼呀</x:v>
      </x:c>
    </x:row>
  </x:sheetData>
  <x:mergeCells>
    <x:mergeCell ref="A1:G1"/>
    <x:mergeCell ref="A2:G2"/>
  </x:mergeCells>
  <x:conditionalFormatting sqref="C5:C203">
    <x:cfRule type="containsText" dxfId="8" priority="1" operator="containsText" text="未匹配"/>
  </x:conditionalFormatting>
  <x:pageMargins left="0.7" right="0.7" top="0.75" bottom="0.75" header="0.3" footer="0.3"/>
  <x:tableParts count="1">
    <x:tablePart xmlns:r="http://schemas.openxmlformats.org/officeDocument/2006/relationships" r:id="Rffdbb7976ca14d94"/>
  </x:tableParts>
</x:worksheet>
</file>